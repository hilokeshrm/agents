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 me" sheetId="1" state="visible" r:id="rId3"/>
    <sheet name="WBS" sheetId="2" state="visible" r:id="rId4"/>
    <sheet name="Packages" sheetId="3" state="visible" r:id="rId5"/>
    <sheet name="Blocked" sheetId="4" state="visible" r:id="rId6"/>
  </sheets>
  <definedNames>
    <definedName function="false" hidden="true" localSheetId="1" name="_xlnm._FilterDatabase" vbProcedure="false">WBS!$A$1:$L$124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<sst xmlns="http://schemas.openxmlformats.org/spreadsheetml/2006/main" count="1097" uniqueCount="676">
  <si>
    <t xml:space="preserve">OppTrack — Work Breakdown Structure</t>
  </si>
  <si>
    <t xml:space="preserve">Opportunity Tracking Agent · 15 packages · 108 tasks</t>
  </si>
  <si>
    <t xml:space="preserve">Sheets</t>
  </si>
  <si>
    <t xml:space="preserve">WBS</t>
  </si>
  <si>
    <t xml:space="preserve">Every task: package, phase, status, size, what it is, what counts as done, and dependencies.</t>
  </si>
  <si>
    <t xml:space="preserve">Packages</t>
  </si>
  <si>
    <t xml:space="preserve">One row per package with live counts. All counts are COUNTIFS formulas over the WBS sheet.</t>
  </si>
  <si>
    <t xml:space="preserve">Blocked</t>
  </si>
  <si>
    <t xml:space="preserve">The ten blocked tasks and what each one waits on.</t>
  </si>
  <si>
    <t xml:space="preserve">Numbering</t>
  </si>
  <si>
    <t xml:space="preserve">Order</t>
  </si>
  <si>
    <t xml:space="preserve">The numbering is dependency order, not preference. 2.0 blocks most of what follows; 9.0 blocks the learning half of 6.0.</t>
  </si>
  <si>
    <t xml:space="preserve">Status</t>
  </si>
  <si>
    <t xml:space="preserve">Done</t>
  </si>
  <si>
    <t xml:space="preserve">Code exists and is covered by a test. Only 5.1, 7.6 and 7.8 qualify today.</t>
  </si>
  <si>
    <t xml:space="preserve">Partial</t>
  </si>
  <si>
    <t xml:space="preserve">A working implementation exists in the POC or bench, but not in the shape the platform needs.</t>
  </si>
  <si>
    <t xml:space="preserve">To do</t>
  </si>
  <si>
    <t xml:space="preserve">Not started, and nothing prevents starting.</t>
  </si>
  <si>
    <t xml:space="preserve">Waiting on a decision, a field that does not exist, or history that has not accumulated.</t>
  </si>
  <si>
    <t xml:space="preserve">Size</t>
  </si>
  <si>
    <t xml:space="preserve">S / M / L / XL</t>
  </si>
  <si>
    <t xml:space="preserve">Roughly: under a day / a few days / one to two weeks / longer. Engineering estimates for one developer, not committed dates.</t>
  </si>
  <si>
    <t xml:space="preserve">Phases</t>
  </si>
  <si>
    <t xml:space="preserve">0 Read-only</t>
  </si>
  <si>
    <t xml:space="preserve">Intake, normalise, validate, findings. No database, no auth, no model.</t>
  </si>
  <si>
    <t xml:space="preserve">1 Numbers</t>
  </si>
  <si>
    <t xml:space="preserve">Calc engine, roll-ups, six live analyses.</t>
  </si>
  <si>
    <t xml:space="preserve">2 Identity</t>
  </si>
  <si>
    <t xml:space="preserve">Postgres, opportunity ID, state_history, SSO, roles, region scope.</t>
  </si>
  <si>
    <t xml:space="preserve">3 Judgment</t>
  </si>
  <si>
    <t xml:space="preserve">Memory tiers, evidence assembler, judgment engine, review queue, audit.</t>
  </si>
  <si>
    <t xml:space="preserve">4 Learning</t>
  </si>
  <si>
    <t xml:space="preserve">Calibration, POS and ERP connectors, forecast accuracy.</t>
  </si>
  <si>
    <t xml:space="preserve">5 Outside-in</t>
  </si>
  <si>
    <t xml:space="preserve">Market data, EAU cross-check, white-space detection.</t>
  </si>
  <si>
    <t xml:space="preserve">Editing this file</t>
  </si>
  <si>
    <t xml:space="preserve">Owner, Due, Notes</t>
  </si>
  <si>
    <t xml:space="preserve">Columns J, K and L on the WBS sheet are empty and intended for you to fill in. Everything else is generated.</t>
  </si>
  <si>
    <t xml:space="preserve">Source</t>
  </si>
  <si>
    <t xml:space="preserve">Generated from OppTrack_Work_Breakdown.html, 2026-08-27. Re-generate rather than hand-editing the other columns.</t>
  </si>
  <si>
    <t xml:space="preserve">Package</t>
  </si>
  <si>
    <t xml:space="preserve">Phase</t>
  </si>
  <si>
    <t xml:space="preserve">Task</t>
  </si>
  <si>
    <t xml:space="preserve">What it is</t>
  </si>
  <si>
    <t xml:space="preserve">Done when</t>
  </si>
  <si>
    <t xml:space="preserve">Depends on / blocks</t>
  </si>
  <si>
    <t xml:space="preserve">Owner</t>
  </si>
  <si>
    <t xml:space="preserve">Due</t>
  </si>
  <si>
    <t xml:space="preserve">Notes</t>
  </si>
  <si>
    <t xml:space="preserve">1.0</t>
  </si>
  <si>
    <t xml:space="preserve">Project control and stakeholder resolution</t>
  </si>
  <si>
    <t xml:space="preserve">Ongoing</t>
  </si>
  <si>
    <t xml:space="preserve">1.1</t>
  </si>
  <si>
    <t xml:space="preserve">Send the four blocking questions</t>
  </si>
  <si>
    <t xml:space="preserve">S</t>
  </si>
  <si>
    <t xml:space="preserve">Q1 ratify the Matrix A baseline per valid (Design Status, Stage) cell. Q2 set the confidence ceiling — if a design win is not 1.00, what is the maximum any record may carry, and roughly how many points should dual sourcing or cancellation risk remove. Q3 does a person gate an auto-move to Mass Production or Design Lost. Q4 which workbook is current. Q1 and Q2 are the expensive ones. Without Q1 the agent invents a confidence number rather than justifying a deviation from an agreed one, and the file itself contradicts the stage-driven rule: three Evaluation-at-EVT rows carry 0.30, 0.50 and 0.50. Without Q2 the clamp discards every positive adjustment, so the calibrated total can only ever move down.</t>
  </si>
  <si>
    <t xml:space="preserve">All four answered in writing and recorded in the open-questions register, with the Matrix A table signed off cell by cell.</t>
  </si>
  <si>
    <t xml:space="preserve">unblocks 2.3, 2.4, 4.3, 7.3, 8.3 · owner: Akanksha</t>
  </si>
  <si>
    <t xml:space="preserve">1.2</t>
  </si>
  <si>
    <t xml:space="preserve">Confirm the current workbook</t>
  </si>
  <si>
    <t xml:space="preserve">David refers to "the sheet I updated"; our copy still contains the Projection/Stretch block his does not. Validation rules get written against a specific file, so writing them against the wrong one wastes the whole of package 4.0. Low risk in itself — that block is the only stated difference — but it has to be settled before rules are authored. Note while confirming: the #REF! roll-up rows are not pending fixes. They were broken deliberately when the forecast moved to a separate agent, and a validation rule that flags them as errors will produce noise on every run.</t>
  </si>
  <si>
    <t xml:space="preserve">One file is named as canonical, hashed, and stored as the Phase 0 fixture.</t>
  </si>
  <si>
    <t xml:space="preserve">blocks 3.1, 4.1, 12.6</t>
  </si>
  <si>
    <t xml:space="preserve">1.3</t>
  </si>
  <si>
    <t xml:space="preserve">Maintain the open-questions register</t>
  </si>
  <si>
    <t xml:space="preserve">Currently 6 answered, 7 partly answered, 15 open, 4 internal. The register is the artefact that stops a partly-answered question being treated as settled — the auto-move policy is the live example, where two answers given separately combine to mean nobody signs off before an opportunity is closed as lost, which is almost certainly not what anyone intended.</t>
  </si>
  <si>
    <t xml:space="preserve">Every open item has an owner and a date, and partial answers are marked as partial rather than closed.</t>
  </si>
  <si>
    <t xml:space="preserve">ongoing</t>
  </si>
  <si>
    <t xml:space="preserve">1.4</t>
  </si>
  <si>
    <t xml:space="preserve">Settle the four internal decisions</t>
  </si>
  <si>
    <t xml:space="preserve">Service signature for the two POC modules, when the audit log is written relative to the decision returning, the exact rubric wording published to reviewers, and the intake field list. These need no external input, only a decision, and each one diverges the codebase if left open.</t>
  </si>
  <si>
    <t xml:space="preserve">Written into the repo as decisions with dates, not held in conversation.</t>
  </si>
  <si>
    <t xml:space="preserve">blocks 7.1, 8.2, 10.2</t>
  </si>
  <si>
    <t xml:space="preserve">1.5</t>
  </si>
  <si>
    <t xml:space="preserve">Agree the intake field list with the UI owner</t>
  </si>
  <si>
    <t xml:space="preserve">Must be settled before the form and the service diverge. It has to include Opportunity ID, owner, Unit/Set, competitor part number and loss reason — the five fields whose absence currently blocks a rubric factor or a join. Agreeing it late means either the form or the schema gets rebuilt.</t>
  </si>
  <si>
    <t xml:space="preserve">One schema document signed off by both the service and UI owners, covering all four intake paths, not only the form.</t>
  </si>
  <si>
    <t xml:space="preserve">blocks 10.3, 11.1 · owners: Lokesh + Dimple</t>
  </si>
  <si>
    <t xml:space="preserve">1.6</t>
  </si>
  <si>
    <t xml:space="preserve">Agree the ROI Agent cross-validation contract</t>
  </si>
  <si>
    <t xml:space="preserve">M</t>
  </si>
  <si>
    <t xml:space="preserve">The ROI Agent consumes this agent's Adjusted Revenue as its revenue-forecast input. Fix the shape once, shared, rather than having both sides invent it: which figure, at what grain, carrying which snapshot identifier, and what happens when the two disagree. Without a snapshot ID on the hand-off the two agents will eventually present different totals for the same month and nobody will be able to say which is stale.</t>
  </si>
  <si>
    <t xml:space="preserve">A written contract exists and both agents' tests assert against the same fixture.</t>
  </si>
  <si>
    <t xml:space="preserve">blocks 10.9, 11.5</t>
  </si>
  <si>
    <t xml:space="preserve">2.0</t>
  </si>
  <si>
    <t xml:space="preserve">Parameter registry and canonical model</t>
  </si>
  <si>
    <t xml:space="preserve">Phase 0</t>
  </si>
  <si>
    <t xml:space="preserve">2.1</t>
  </si>
  <si>
    <t xml:space="preserve">ParamSpec for every parameter</t>
  </si>
  <si>
    <t xml:space="preserve">One frozen dataclass per parameter: id, name, dtype, unit, enum, required, which tabs supply it, and whether it is present in the current file. Twenty-eight live entries plus the twenty-six proposed ones, so a proposed parameter is registered as absent rather than missing. The rule that makes this worth doing: nothing downstream may reference a spreadsheet column name. Rules and analyses cite V1, never column K, so a sheet reshuffle is an intake change and not a codebase change.</t>
  </si>
  <si>
    <t xml:space="preserve">Every parameter in the dictionary has a spec, and a test asserts the registry covers every column the intake reads.</t>
  </si>
  <si>
    <t xml:space="preserve">blocks 2.5, 3.6, 4.1, 6.1, 7.2</t>
  </si>
  <si>
    <t xml:space="preserve">2.2</t>
  </si>
  <si>
    <t xml:space="preserve">Canonical enums</t>
  </si>
  <si>
    <t xml:space="preserve">Region, design status, stage, product line, application and loss reason, each with its accepted variants. This is where KR becomes Korea and D-IN becomes Design In. It has to exist before the roll-ups are rebuilt, because a regional total computed over EU and Europe as separate keys is wrong in a way nobody notices. Open item to resolve inside this task: the file holds EU, KR and North America, none of which appear on David's region list. Confirm the mapping, including whether North America means US only.</t>
  </si>
  <si>
    <t xml:space="preserve">Every enum value in the real file maps to exactly one canonical value, with no fallthrough.</t>
  </si>
  <si>
    <t xml:space="preserve">blocks 3.4, 5.3</t>
  </si>
  <si>
    <t xml:space="preserve">2.3</t>
  </si>
  <si>
    <t xml:space="preserve">Matrix A as versioned config</t>
  </si>
  <si>
    <t xml:space="preserve">Valid pairings plus baseline confidence per cell, stored as a published version with an ID, not as a constant in a module. The bench already carries a proposed table; this task turns it into ratified, versioned configuration that a run records against every proposal it produces. Also needs deciding here: whether MP is a legal Stage value at all, given the Stage column in the file holds only Concept, EVT, DVT and PVT.</t>
  </si>
  <si>
    <t xml:space="preserve">The table is published with a version ID and a run stamps that ID on every event.</t>
  </si>
  <si>
    <t xml:space="preserve">blocked on 1.1 (Q1, Q2) · blocks 4.3, 7.3, 10.7</t>
  </si>
  <si>
    <t xml:space="preserve">2.4</t>
  </si>
  <si>
    <t xml:space="preserve">Opportunity ID scheme and backfill plan</t>
  </si>
  <si>
    <t xml:space="preserve">The single highest-value item in the whole plan. Five cross-tab relations do not exist today because no two tabs share a key; all five close with one stable ID written on every row of every tab. This task covers the format, who issues it, and the one-time backfill of existing rows. Cheap to build, awkward to agree, and nothing that depends on joining tabs can be automated until it lands. It should be treated as the project's first deliverable, not a schema detail.</t>
  </si>
  <si>
    <t xml:space="preserve">Every row in the canonical workbook carries an ID and the five joins are computed rather than eyeballed.</t>
  </si>
  <si>
    <t xml:space="preserve">blocked on 1.1 (identity questions) · blocks 9.1, 9.2, 11.3</t>
  </si>
  <si>
    <t xml:space="preserve">2.5</t>
  </si>
  <si>
    <t xml:space="preserve">Registry-driven runnable()</t>
  </si>
  <si>
    <t xml:space="preserve">A single function that answers, for any module, whether the parameters it declared are present in the current snapshot. This is the mechanism behind the whole not-assessable behaviour: an analysis or rubric factor whose inputs are absent reports that it cannot run, rather than running on nulls and producing a confident number from nothing.</t>
  </si>
  <si>
    <t xml:space="preserve">Every analysis and rubric factor reports runnable or not, and the run output lists which are dark and why.</t>
  </si>
  <si>
    <t xml:space="preserve">depends on 2.1 · blocks 6.1, 7.2</t>
  </si>
  <si>
    <t xml:space="preserve">2.6</t>
  </si>
  <si>
    <t xml:space="preserve">Reason-code vocabulary</t>
  </si>
  <si>
    <t xml:space="preserve">Closed lists for loss reason, stage-exit reason and override reason. These are the labels the calibration model will eventually learn from, so a free-text field here costs a year: outcomes recorded as prose cannot be aggregated into owner bias without re-reading them by hand.</t>
  </si>
  <si>
    <t xml:space="preserve">The lists are agreed and enforced at the API, not just offered in a dropdown.</t>
  </si>
  <si>
    <t xml:space="preserve">blocks 8.4, 6.5, 11.2</t>
  </si>
  <si>
    <t xml:space="preserve">3.0</t>
  </si>
  <si>
    <t xml:space="preserve">Intake and normalisation</t>
  </si>
  <si>
    <t xml:space="preserve">3.1</t>
  </si>
  <si>
    <t xml:space="preserve">Workbook reader</t>
  </si>
  <si>
    <t xml:space="preserve">Handles the two-row header on rows 3 and 4, and the shifted column letters on the terminal tabs. Reads six tabs into raw rows with no interpretation applied. This is import-path work, not the primary intake — direct entry is — but it is how the current book of business gets in and how Phase 0 demonstrates value before any platform exists.</t>
  </si>
  <si>
    <t xml:space="preserve">All six tabs read into raw rows with the header quirks handled and no silent column drift.</t>
  </si>
  <si>
    <t xml:space="preserve">depends on 1.2 · blocks 4.5, 10.11</t>
  </si>
  <si>
    <t xml:space="preserve">3.2</t>
  </si>
  <si>
    <t xml:space="preserve">Snapshot writer</t>
  </si>
  <si>
    <t xml:space="preserve">Write-once record of one run's input: sha256 of the source, source URI, row count per tab, timestamp. This is L1 episodic memory and the thing that makes a run reproducible — without it, "re-run last month" means re-reading a file that may have changed underneath you.</t>
  </si>
  <si>
    <t xml:space="preserve">A snapshot cannot be modified after sealing, and two runs over the same snapshot produce byte-identical calc output.</t>
  </si>
  <si>
    <t xml:space="preserve">blocks 12.4, 9.7</t>
  </si>
  <si>
    <t xml:space="preserve">3.3</t>
  </si>
  <si>
    <t xml:space="preserve">Coercion</t>
  </si>
  <si>
    <t xml:space="preserve">Dec'24 and June'27 to dates, TBD to null, thousands separators to float, percentages to fractions. The important behaviour is that TBD becomes null and is reported, not defaulted to zero — seven numeric fields in the current file carry TBD, and a zero there silently deflates a regional total.</t>
  </si>
  <si>
    <t xml:space="preserve">Every coercion is reversible to the source string, which is what the milestone factor must cite.</t>
  </si>
  <si>
    <t xml:space="preserve">blocks 4.4, 6.3</t>
  </si>
  <si>
    <t xml:space="preserve">3.4</t>
  </si>
  <si>
    <t xml:space="preserve">Canonicalisation</t>
  </si>
  <si>
    <t xml:space="preserve">Applies the enums from 2.2 to real values: KR to Korea, MOBIS to Mobis, D-IN to Design In, M/P to Mass Production. An unmapped value is a finding, never a new category invented at read time.</t>
  </si>
  <si>
    <t xml:space="preserve">The regional roll-up over the real file produces three regions, not five spellings of three regions.</t>
  </si>
  <si>
    <t xml:space="preserve">depends on 2.2 · blocks 5.3</t>
  </si>
  <si>
    <t xml:space="preserve">3.5</t>
  </si>
  <si>
    <t xml:space="preserve">NRE line splitter</t>
  </si>
  <si>
    <t xml:space="preserve">Seven of ten FCST_Revenue rows are non-recurring engineering charges sitting in the volume columns. They are not silicon revenue and must not be phased like it. This task lifts them into their own record type so C10 can recognise NRE by quarter separately from unit revenue. Left unsplit, every quarterly revenue figure is inflated by one-off charges, and the error is invisible because the totals still tie to the sheet.</t>
  </si>
  <si>
    <t xml:space="preserve">Volume revenue and NRE reconcile separately to the workbook, and their sum ties to the original column.</t>
  </si>
  <si>
    <t xml:space="preserve">blocks 5.4</t>
  </si>
  <si>
    <t xml:space="preserve">3.6</t>
  </si>
  <si>
    <t xml:space="preserve">Provenance wrapper</t>
  </si>
  <si>
    <t xml:space="preserve">FieldValue(param, value, source, at, trust) on every value, from every path. This is what the Opportunities list renders as source badges, what the precedence ladder arbitrates over, and what lets a reviewer answer "who put that there" without opening a log.</t>
  </si>
  <si>
    <t xml:space="preserve">No value reaches the calc engine without a source and a trust level attached.</t>
  </si>
  <si>
    <t xml:space="preserve">depends on 2.1 · blocks 10.4, 11.1, 11.2</t>
  </si>
  <si>
    <t xml:space="preserve">3.7</t>
  </si>
  <si>
    <t xml:space="preserve">Direct-entry intake service</t>
  </si>
  <si>
    <t xml:space="preserve">The primary path, and the one the earlier documents under-specify because they all read the workbook. Accepts a single opportunity from the form or API, applies the same coercion, canonicalisation and validation as a bulk read, and captures owner, region and the confidence rationale at source. Values it writes carry the highest trust level, above every connector.</t>
  </si>
  <si>
    <t xml:space="preserve">A row created through the form is indistinguishable downstream from one imported, except that its provenance says a person entered it.</t>
  </si>
  <si>
    <t xml:space="preserve">depends on 1.5, 3.3, 3.4, 3.6 · blocks 10.3</t>
  </si>
  <si>
    <t xml:space="preserve">4.0</t>
  </si>
  <si>
    <t xml:space="preserve">Validation and findings engine</t>
  </si>
  <si>
    <t xml:space="preserve">4.1</t>
  </si>
  <si>
    <t xml:space="preserve">One rule per finding</t>
  </si>
  <si>
    <t xml:space="preserve">L</t>
  </si>
  <si>
    <t xml:space="preserve">Rules V-a through V-i, each declaring the parameters it requires so it goes dark rather than throwing when a field is absent. Rules are data-quality checks, not judgment: they answer whether the file is internally consistent, and every one of them must be explainable to a sales owner in a sentence.</t>
  </si>
  <si>
    <t xml:space="preserve">Each rule has a passing and a failing fixture drawn from the real file.</t>
  </si>
  <si>
    <t xml:space="preserve">depends on 2.1, 1.2 · blocks 4.5</t>
  </si>
  <si>
    <t xml:space="preserve">4.2</t>
  </si>
  <si>
    <t xml:space="preserve">Blocking vs advisory severity</t>
  </si>
  <si>
    <t xml:space="preserve">A blocking finding excludes the row from totals and counts it separately; an advisory one annotates and lets it through. The distinction matters more than it sounds: a design win worth zero silently included in a weighted total is how a forecast becomes wrong without anyone editing a number.</t>
  </si>
  <si>
    <t xml:space="preserve">Roll-ups report an included total, an excluded count, and never blend the two.</t>
  </si>
  <si>
    <t xml:space="preserve">blocks 5.3, 10.2</t>
  </si>
  <si>
    <t xml:space="preserve">4.3</t>
  </si>
  <si>
    <t xml:space="preserve">Matrix A pairing check</t>
  </si>
  <si>
    <t xml:space="preserve">Rejects, corrects or flags a row whose (Design Status, Stage) combination is forbidden. The check itself is a table lookup; what is undecided is the behaviour on failure, and that is a policy question, not an engineering one — rejecting at intake stops bad data entering, flagging lets a real edge case through with a warning.</t>
  </si>
  <si>
    <t xml:space="preserve">The agreed behaviour is implemented at both intake paths, form and import, identically.</t>
  </si>
  <si>
    <t xml:space="preserve">blocked on 1.1 (Q1 and invalid-pairing policy) · depends on 2.3</t>
  </si>
  <si>
    <t xml:space="preserve">4.4</t>
  </si>
  <si>
    <t xml:space="preserve">Cross-tab contradiction checks</t>
  </si>
  <si>
    <t xml:space="preserve">The two EAU definitions (ID801 reads 57,175 Kpcs on Funnel and 1,343 on FCST_Revenue), SoP dates that disagree across sheets, and totals that do not compute. These are the checks that most need the Opportunity ID from 2.4 — without a shared key they can only compare rows a human has paired up.</t>
  </si>
  <si>
    <t xml:space="preserve">Every contradiction in the current file is reproduced as a generated finding rather than a documented observation.</t>
  </si>
  <si>
    <t xml:space="preserve">depends on 2.4, 3.3</t>
  </si>
  <si>
    <t xml:space="preserve">4.5</t>
  </si>
  <si>
    <t xml:space="preserve">Findings report renderer</t>
  </si>
  <si>
    <t xml:space="preserve">The Phase 0 deliverable: the data-quality section of the specification, generated from the file instead of written by hand. Runs with no database, no auth and no model, which is what makes it demonstrable before any platform decision is made.</t>
  </si>
  <si>
    <t xml:space="preserve">All twelve documented findings are reproduced from the real workbook by running one command.</t>
  </si>
  <si>
    <t xml:space="preserve">depends on 3.1, 4.1 · blocks 10.11</t>
  </si>
  <si>
    <t xml:space="preserve">4.6</t>
  </si>
  <si>
    <t xml:space="preserve">Dry-run validation for bulk import</t>
  </si>
  <si>
    <t xml:space="preserve">Runs the full rule set against a proposed import and shows what would fail, before anything commits. Column mapping is confirmed by a person, the preview lists blocking and advisory findings per row, and nothing is written until the mapping is accepted.</t>
  </si>
  <si>
    <t xml:space="preserve">An import with a bad mapping can be abandoned with zero rows written and zero side effects.</t>
  </si>
  <si>
    <t xml:space="preserve">depends on 4.1 · blocks 10.11</t>
  </si>
  <si>
    <t xml:space="preserve">5.0</t>
  </si>
  <si>
    <t xml:space="preserve">Calculation engine</t>
  </si>
  <si>
    <t xml:space="preserve">Phase 1</t>
  </si>
  <si>
    <t xml:space="preserve">5.1</t>
  </si>
  <si>
    <t xml:space="preserve">C1, C2 and T2</t>
  </si>
  <si>
    <t xml:space="preserve">Sales revenue as EAU times distributor ASP, adjusted revenue as sales revenue times confidence, and quarterly revenue as quarterly units times ASP. Implemented in calc_engine.py and asserted against the workbook's own numbers for all nine sample projects by test_calc_engine.py.</t>
  </si>
  <si>
    <t xml:space="preserve">Already met. The test is the contract: if it fails, the financial maths changed, and that should never happen silently.</t>
  </si>
  <si>
    <t xml:space="preserve">5.2</t>
  </si>
  <si>
    <t xml:space="preserve">C3 to C7</t>
  </si>
  <si>
    <t xml:space="preserve">Set volume, attach rate, channel margin in currency and percent, and part-level demand. None of these exist in the workbook; they are figures the sheet collects the inputs for and never computes. Channel margin in particular turns Resale ASP from a dead-end column into something that feeds an analysis and a rubric factor.</t>
  </si>
  <si>
    <t xml:space="preserve">Each has a regression assertion, and attach rate reconciles against the Unit/Set definition rather than contradicting it.</t>
  </si>
  <si>
    <t xml:space="preserve">depends on 5.1</t>
  </si>
  <si>
    <t xml:space="preserve">5.3</t>
  </si>
  <si>
    <t xml:space="preserve">C8, C9 and C12 roll-ups</t>
  </si>
  <si>
    <t xml:space="preserve">Regional roll-up rebuilt on canonical regions, stage roll-up by funnel stage, and concentration shares by every dimension at once: row, customer, end customer and part. A basic version exists in portfolio_rollup; this extends it to the full dimension set and to the exclusion behaviour from 4.2. Concentration is the analysis with the most immediate value and the least new data. The current file already shows one project carrying 48% of the Korea pipeline, and no existing report says so.</t>
  </si>
  <si>
    <t xml:space="preserve">Roll-up totals tie to row-level sums and excluded rows are reported separately rather than dropped.</t>
  </si>
  <si>
    <t xml:space="preserve">depends on 3.4, 4.2</t>
  </si>
  <si>
    <t xml:space="preserve">5.4</t>
  </si>
  <si>
    <t xml:space="preserve">C10 NRE recognition by quarter</t>
  </si>
  <si>
    <t xml:space="preserve">Recognises non-recurring engineering separately from silicon volume, by quarter. Depends entirely on the splitter in 3.5; until that lands, every quarterly revenue figure carries one-off charges phased as though they were units.</t>
  </si>
  <si>
    <t xml:space="preserve">NRE and volume revenue are reported separately and sum to the workbook's original figure.</t>
  </si>
  <si>
    <t xml:space="preserve">depends on 3.5</t>
  </si>
  <si>
    <t xml:space="preserve">5.5</t>
  </si>
  <si>
    <t xml:space="preserve">C11 quarterly phasing rule</t>
  </si>
  <si>
    <t xml:space="preserve">How one annual EAU becomes quarterly revenue: flat across four quarters, a ramp from the M/P date, or driven by programme build data. Undecided, and it matters because automotive sockets run several years at varying volume while the ROI hand-off expects a year list. Related open question to settle here: whether each opportunity needs a per-year volume profile rather than one annual figure. If it does, this is a schema change and not a formula.</t>
  </si>
  <si>
    <t xml:space="preserve">One rule is chosen, implemented, and its assumption stated on every export that uses it.</t>
  </si>
  <si>
    <t xml:space="preserve">blocked on the phasing decision and 1.6</t>
  </si>
  <si>
    <t xml:space="preserve">5.6</t>
  </si>
  <si>
    <t xml:space="preserve">Extend the regression suite</t>
  </si>
  <si>
    <t xml:space="preserve">Every new output from 5.2 to 5.5 gets an assertion against the workbook or, where the workbook never computed it, against a hand-worked example checked by a second person. The existing test is the pattern; the discipline is that no calculation ships without one.</t>
  </si>
  <si>
    <t xml:space="preserve">The suite covers every C-number the product displays.</t>
  </si>
  <si>
    <t xml:space="preserve">depends on 5.2–5.5 · rolls into 12.1</t>
  </si>
  <si>
    <t xml:space="preserve">5.7</t>
  </si>
  <si>
    <t xml:space="preserve">Scenario recompute service</t>
  </si>
  <si>
    <t xml:space="preserve">Takes a set of confidence overrides and returns recomputed roll-ups without persisting anything. It backs the assistant's what-if answers, the review console's preview of an approval, and the rubric editor's impact estimate. One implementation, three consumers, which is what stops those three disagreeing in front of a customer.</t>
  </si>
  <si>
    <t xml:space="preserve">A scenario call leaves no trace in the database and returns the same numbers a real approval would produce.</t>
  </si>
  <si>
    <t xml:space="preserve">depends on 5.3 · blocks 10.5, 10.7, 14.3</t>
  </si>
  <si>
    <t xml:space="preserve">6.0</t>
  </si>
  <si>
    <t xml:space="preserve">Analysis registry</t>
  </si>
  <si>
    <t xml:space="preserve">6.1</t>
  </si>
  <si>
    <t xml:space="preserve">Analysis protocol and registry</t>
  </si>
  <si>
    <t xml:space="preserve">A protocol with a requires declaration, and a registry that discovers modules and decides which may run against the current snapshot. Same mechanism as 2.5, applied to analyses: the run output should list what ran, what was dark, and which parameter was missing.</t>
  </si>
  <si>
    <t xml:space="preserve">Adding an analysis module requires no registration code, only a requires declaration.</t>
  </si>
  <si>
    <t xml:space="preserve">depends on 2.1, 2.5</t>
  </si>
  <si>
    <t xml:space="preserve">6.2</t>
  </si>
  <si>
    <t xml:space="preserve">Six live analyses</t>
  </si>
  <si>
    <t xml:space="preserve">Stage mix and pipeline health, concentration risk, contradiction and data quality, milestone and stall detection, competitive exposure, and channel margin. All six run on today's data. Stage mix answers whether the weighted total is top-heavy with Concept-stage optimism; concentration answers what a single loss would cost.</t>
  </si>
  <si>
    <t xml:space="preserve">Each produces a figure a reviewer can act on, not a chart, and each names the rows it is talking about.</t>
  </si>
  <si>
    <t xml:space="preserve">depends on 5.3, 6.1</t>
  </si>
  <si>
    <t xml:space="preserve">6.3</t>
  </si>
  <si>
    <t xml:space="preserve">Milestone extractor</t>
  </si>
  <si>
    <t xml:space="preserve">Pulls PPAP, ES, Design Review and SoP dates out of the Funnel prose into real date fields, then flags what is overdue or missing an action. The parsed date goes into a field; the source string is kept, because the rubric factor that cites a slip must quote what was written, never the parse.</t>
  </si>
  <si>
    <t xml:space="preserve">Every date the extractor claims can be traced back to the exact substring it came from.</t>
  </si>
  <si>
    <t xml:space="preserve">depends on 3.3 · blocks 7.2 (J-10)</t>
  </si>
  <si>
    <t xml:space="preserve">6.4</t>
  </si>
  <si>
    <t xml:space="preserve">Coverage against target</t>
  </si>
  <si>
    <t xml:space="preserve">Compares weighted pipeline against a regional target to answer whether there is enough in the funnel. Blocked because no targets are defined anywhere in the file or the documents; the analysis is trivial once a number exists to compare against.</t>
  </si>
  <si>
    <t xml:space="preserve">Targets exist per region and per period, and coverage is reported against them.</t>
  </si>
  <si>
    <t xml:space="preserve">blocked: targets undefined</t>
  </si>
  <si>
    <t xml:space="preserve">6.5</t>
  </si>
  <si>
    <t xml:space="preserve">Forecast accuracy and owner calibration</t>
  </si>
  <si>
    <t xml:space="preserve">Compares what was forecast against what shipped, per region and per owner, producing the bias figures that become L5 memory. Blocked twice over: no actuals are connected, and no owner field exists anywhere in the workbook. Needs two quarters of retained history before it says anything trustworthy. This is the task that eventually makes the agent better rather than merely consistent, and it is worth starting the clock on early — the data has to accumulate before the analysis can be written.</t>
  </si>
  <si>
    <t xml:space="preserve">Owner bias is computed from resolved outcomes and fed to the judgment layer as a prior, never as a current number.</t>
  </si>
  <si>
    <t xml:space="preserve">blocked on 2.6, 9.2, 11.4 and two quarters of history</t>
  </si>
  <si>
    <t xml:space="preserve">6.6</t>
  </si>
  <si>
    <t xml:space="preserve">Run-to-run comparison</t>
  </si>
  <si>
    <t xml:space="preserve">Diffs two snapshots and attributes every change to a cause: a person edited a field, a connector wrote a value, a proposal was approved, or the rubric version changed. This is what makes the director's view answer "why is the number different from last month" without anyone reconstructing it by hand.</t>
  </si>
  <si>
    <t xml:space="preserve">Every delta between two runs is attributable to a recorded event, with no unexplained residual.</t>
  </si>
  <si>
    <t xml:space="preserve">depends on 3.2, 8.2 · supports 12.4</t>
  </si>
  <si>
    <t xml:space="preserve">7.0</t>
  </si>
  <si>
    <t xml:space="preserve">Judgment layer</t>
  </si>
  <si>
    <t xml:space="preserve">Phase 3</t>
  </si>
  <si>
    <t xml:space="preserve">7.1</t>
  </si>
  <si>
    <t xml:space="preserve">score_confidence service signature</t>
  </si>
  <si>
    <t xml:space="preserve">Wrap the bench as score_confidence(opportunity, portfolio_context, rubric_version) returning a proposal rather than applying one. The portfolio context argument is not optional: under the original one-row signature the concentration factor could never fire at all, because it had nothing to compare a row against.</t>
  </si>
  <si>
    <t xml:space="preserve">The service returns a proposal object, writes nothing, and the concentration factor fires on the Korea case.</t>
  </si>
  <si>
    <t xml:space="preserve">depends on 1.4 · blocks 8.1</t>
  </si>
  <si>
    <t xml:space="preserve">7.2</t>
  </si>
  <si>
    <t xml:space="preserve">Matrix B as declaring rules</t>
  </si>
  <si>
    <t xml:space="preserve">Each of the thirteen factors declares the parameters it requires and its cap, so a factor whose input is absent returns not-assessable instead of guessing. Six can fire on today's data; the correct behaviour for the other seven is to say so, and that is a property of the design rather than a gap in it.</t>
  </si>
  <si>
    <t xml:space="preserve">Every factor reports runnable or not, and no factor produces an adjustment from a null field.</t>
  </si>
  <si>
    <t xml:space="preserve">7.3</t>
  </si>
  <si>
    <t xml:space="preserve">Rewrite J-01 and J-04 against Matrix A</t>
  </si>
  <si>
    <t xml:space="preserve">The two misfires that between them accounted for 44% of the entire calibration effect on the first live run: J-01 docked Aphrodite for a Design In at DVT pairing the rules allow, and J-04 read DVT as an early stage. Both are fixed by giving the model the table and the stage order as config rather than expecting it to infer them from prose.</t>
  </si>
  <si>
    <t xml:space="preserve">Aphrodite and Montana no longer misfire, asserted as explicit negative fixtures.</t>
  </si>
  <si>
    <t xml:space="preserve">depends on 2.3 · tuning blocked on 1.1</t>
  </si>
  <si>
    <t xml:space="preserve">7.4</t>
  </si>
  <si>
    <t xml:space="preserve">ConfidenceProposal contract</t>
  </si>
  <si>
    <t xml:space="preserve">A typed contract with the bounds asserted at construction: rule ID drawn from the current rubric, signed adjustment within the factor cap, non-empty evidence, and a validity flag. Asserting in the constructor rather than checking later means an invalid proposal cannot exist as an object, let alone reach a reviewer.</t>
  </si>
  <si>
    <t xml:space="preserve">Constructing an out-of-bounds proposal raises, and the guards cannot be bypassed by a caller.</t>
  </si>
  <si>
    <t xml:space="preserve">depends on 7.2</t>
  </si>
  <si>
    <t xml:space="preserve">7.5</t>
  </si>
  <si>
    <t xml:space="preserve">Evidence assembler</t>
  </si>
  <si>
    <t xml:space="preserve">Filters by region, product line, part and recency as SQL predicates first, then ranks by similarity, then applies a token budget. The order is the point: similarity alone will happily return a Korean lighting socket as precedent for a European ADAS opportunity, and the filter is what stops it. The model never queries the store itself. Two rules enforced inside the assembler: numbers of any kind are never embedded, and customer pricing is never embedded — retrieval crosses region boundaries by design, and pricing must not.</t>
  </si>
  <si>
    <t xml:space="preserve">A bundle is bounded, reproducible for a given snapshot, and contains no figure the calc engine produced.</t>
  </si>
  <si>
    <t xml:space="preserve">depends on 9.3 · content blocked until outcomes resolve</t>
  </si>
  <si>
    <t xml:space="preserve">7.6</t>
  </si>
  <si>
    <t xml:space="preserve">Model client</t>
  </si>
  <si>
    <t xml:space="preserve">JSON schema on the request rather than an instruction in the prompt, stop_reason checked before parsing, text block located by type, a four-rung degradation ladder, and a loud failure. Implemented in judgment_bench.py. The rule it enforces: a failed call raises and never substitutes hard-coded numbers behind a successful-looking run.</t>
  </si>
  <si>
    <t xml:space="preserve">Already met in the bench. Carries into the service unchanged.</t>
  </si>
  <si>
    <t xml:space="preserve">7.7</t>
  </si>
  <si>
    <t xml:space="preserve">Print the written reasons</t>
  </si>
  <si>
    <t xml:space="preserve">Run output must carry the model's rationale and its quote, not only factor names and deltas. A reviewer cannot calibrate their trust in a layer that only ever shows them arithmetic, and the quote is the thing that makes a wrong factor obviously wrong at a glance.</t>
  </si>
  <si>
    <t xml:space="preserve">Every factor on every output surface carries its evidence string verbatim.</t>
  </si>
  <si>
    <t xml:space="preserve">depends on 7.4 · blocks 10.5</t>
  </si>
  <si>
    <t xml:space="preserve">7.8</t>
  </si>
  <si>
    <t xml:space="preserve">Prompt and rubric versioning</t>
  </si>
  <si>
    <t xml:space="preserve">Model ID, prompt version, rubric version, request shape, schema-enforced flag and token counts stored per event. This is what lets two runs be compared rather than argued about, and it is already in the bench's provenance block.</t>
  </si>
  <si>
    <t xml:space="preserve">Already met. Must survive the move into the service unchanged.</t>
  </si>
  <si>
    <t xml:space="preserve">feeds 8.2, 6.6</t>
  </si>
  <si>
    <t xml:space="preserve">7.9</t>
  </si>
  <si>
    <t xml:space="preserve">Unblock J-02 and J-07</t>
  </si>
  <si>
    <t xml:space="preserve">Copying Competitor Part# onto the tracked row restores the named-competitor factor immediately — the single cheapest unblock in the plan. Dual sourcing needs the same column plus the note field. Both are data-model changes, not modelling work.</t>
  </si>
  <si>
    <t xml:space="preserve">Both factors fire on a real row and cite the competitor part string.</t>
  </si>
  <si>
    <t xml:space="preserve">blocked on the competitor column reaching the tracked row</t>
  </si>
  <si>
    <t xml:space="preserve">8.0</t>
  </si>
  <si>
    <t xml:space="preserve">Review, audit and lifecycle</t>
  </si>
  <si>
    <t xml:space="preserve">8.1</t>
  </si>
  <si>
    <t xml:space="preserve">Proposal queue and human gate</t>
  </si>
  <si>
    <t xml:space="preserve">Approve, reject, override with a value, or mark needs-follow-up. Only rows whose proposal crosses a lifecycle band queue; everything else applies automatically, which is the difference between a review queue and a rubber stamp. Nobody may decide their own proposal, checked in code against the actor rather than hidden in the interface.</t>
  </si>
  <si>
    <t xml:space="preserve">All four outcomes write an audit row, and an owner attempting to approve their own row is refused by the API, not by a missing button.</t>
  </si>
  <si>
    <t xml:space="preserve">depends on 7.1, 9.5 · blocks 10.5</t>
  </si>
  <si>
    <t xml:space="preserve">8.2</t>
  </si>
  <si>
    <t xml:space="preserve">Append-only confidence_event writer</t>
  </si>
  <si>
    <t xml:space="preserve">Every proposal and every override, with actor, role, scope, model ID and both version stamps, written before the decision returns. Rejections are logged too — they are the calibration signal, and a log that only records accepted proposals cannot answer whether the layer was worth running.</t>
  </si>
  <si>
    <t xml:space="preserve">No mutation path exists that can change or delete an event, for any role including admin.</t>
  </si>
  <si>
    <t xml:space="preserve">depends on 1.4, 9.1 · feeds 6.6, 12.4</t>
  </si>
  <si>
    <t xml:space="preserve">8.3</t>
  </si>
  <si>
    <t xml:space="preserve">Auto-move to Mass Production or Design Lost</t>
  </si>
  <si>
    <t xml:space="preserve">Step 8 of a run. The mechanics are simple; the policy is not. Read together with auto-entered confidence, the answers given so far mean nobody signs off before an opportunity is closed as lost, and those two answers were given separately — which is exactly the kind of gap the open-questions register exists to catch.</t>
  </si>
  <si>
    <t xml:space="preserve">The agreed gate is implemented, and a close cannot happen without whatever sign-off the policy requires.</t>
  </si>
  <si>
    <t xml:space="preserve">blocked on 1.1 (Q3) · depends on 9.2</t>
  </si>
  <si>
    <t xml:space="preserve">8.4</t>
  </si>
  <si>
    <t xml:space="preserve">Mandatory loss reason at close</t>
  </si>
  <si>
    <t xml:space="preserve">A closed-list reason code required on the way out, enforced at the API. Cheap to build, and it is the single field that makes loss write-ups worth embedding later — without it, precedent retrieval has nothing to retrieve and the calibration model has no labels.</t>
  </si>
  <si>
    <t xml:space="preserve">No opportunity can reach a terminal state without a reason code from the agreed vocabulary.</t>
  </si>
  <si>
    <t xml:space="preserve">depends on 2.6</t>
  </si>
  <si>
    <t xml:space="preserve">8.5</t>
  </si>
  <si>
    <t xml:space="preserve">Stall and milestone alerting</t>
  </si>
  <si>
    <t xml:space="preserve">Nightly sweeps that flag anything sitting in one stage beyond its historic median, and any parsed PPAP, ES or SoP date now past due. The alert carries the rationale, not just the flag: days in stage against the median, or the source string the date came from.</t>
  </si>
  <si>
    <t xml:space="preserve">An alert can be acted on without opening the record to work out why it fired.</t>
  </si>
  <si>
    <t xml:space="preserve">depends on 6.3, 9.2</t>
  </si>
  <si>
    <t xml:space="preserve">8.6</t>
  </si>
  <si>
    <t xml:space="preserve">Deterministic recompute on approval</t>
  </si>
  <si>
    <t xml:space="preserve">Approving a proposal re-runs the calc engine over the approved confidence. No second model call, no cached figure from the proposal. This is the task that keeps the base case and the calibrated case the same function called twice, and it should be asserted, not assumed.</t>
  </si>
  <si>
    <t xml:space="preserve">The post-approval figure is byte-identical to running the calc engine directly on the approved value.</t>
  </si>
  <si>
    <t xml:space="preserve">depends on 5.7, 8.1</t>
  </si>
  <si>
    <t xml:space="preserve">8.7</t>
  </si>
  <si>
    <t xml:space="preserve">Reviewer feedback capture</t>
  </si>
  <si>
    <t xml:space="preserve">When a reviewer rejects or overrides, capture why against a closed list plus optional prose. This is the fastest available signal on whether the rubric is calibrated, and it arrives months before any won-lost outcome does. Without it, the first real evidence that a factor is wrong is a lost deal a year later.</t>
  </si>
  <si>
    <t xml:space="preserve">Rejection reasons are aggregable per rubric factor, and a factor rejected repeatedly is visible on the rubric admin screen.</t>
  </si>
  <si>
    <t xml:space="preserve">depends on 2.6, 8.1 · feeds 10.7</t>
  </si>
  <si>
    <t xml:space="preserve">9.0</t>
  </si>
  <si>
    <t xml:space="preserve">Data platform and identity</t>
  </si>
  <si>
    <t xml:space="preserve">Phase 2</t>
  </si>
  <si>
    <t xml:space="preserve">9.1</t>
  </si>
  <si>
    <t xml:space="preserve">Postgres schema and migrations</t>
  </si>
  <si>
    <t xml:space="preserve">Ten tables, SQLAlchemy models, migrations: opportunity, state_history, snapshot, field_value, forecast, proposal, confidence_event, finding, rubric_version, calibration. Everything hangs off one opportunity row, which is what turns five eyeballed relations into real foreign keys.</t>
  </si>
  <si>
    <t xml:space="preserve">The five severed cross-tab joins are computed by the database rather than by a person reading two sheets.</t>
  </si>
  <si>
    <t xml:space="preserve">depends on 2.4 · blocks 8.2, 9.2, 10.1</t>
  </si>
  <si>
    <t xml:space="preserve">9.2</t>
  </si>
  <si>
    <t xml:space="preserve">state_history as an event stream</t>
  </si>
  <si>
    <t xml:space="preserve">Append-only rows for every Design Status and Stage transition, with actor, timestamp and reason code. Requires no new data collection, only a decision to stop overwriting — and it unblocks four otherwise-blocked rubric factors and two analyses at once.</t>
  </si>
  <si>
    <t xml:space="preserve">Time in stage and win rate are computed from the stream, not estimated, and a moved card writes an event rather than an update.</t>
  </si>
  <si>
    <t xml:space="preserve">depends on 9.1 · unblocks 6.5, 7.2 (J-08, J-09), 8.3, 8.5</t>
  </si>
  <si>
    <t xml:space="preserve">9.3</t>
  </si>
  <si>
    <t xml:space="preserve">pgvector store and chunking rules</t>
  </si>
  <si>
    <t xml:space="preserve">One chunk per comment per run vintage, one per next-action prose with dates extracted separately, one per loss write-up, one per competitor note per socket. Eight-quarter expiry, because stale precedent is worse than none. Numbers and customer pricing are never embedded.</t>
  </si>
  <si>
    <t xml:space="preserve">Nothing numeric is retrievable from the vector store, asserted by a test that tries.</t>
  </si>
  <si>
    <t xml:space="preserve">depends on 9.1 · blocks 7.5</t>
  </si>
  <si>
    <t xml:space="preserve">9.4</t>
  </si>
  <si>
    <t xml:space="preserve">SSO and provisioning</t>
  </si>
  <si>
    <t xml:space="preserve">OIDC against the corporate directory, admin provisioning, MFA enforced at the identity provider, and no self-registration at all. This is an internal tool holding unreleased design wins and customer pricing; a public sign-up path is not a feature to defer, it is one that must never exist.</t>
  </si>
  <si>
    <t xml:space="preserve">No account can be created except by an admin against the directory, and role and region arrive in the assertion rather than being set in the app.</t>
  </si>
  <si>
    <t xml:space="preserve">blocks 9.5, 10.1</t>
  </si>
  <si>
    <t xml:space="preserve">9.5</t>
  </si>
  <si>
    <t xml:space="preserve">Six roles and region scope in SQL</t>
  </si>
  <si>
    <t xml:space="preserve">Regional sales owner, sales manager, regional director, finance, admin, service account. Scope is injected into every query at the SQL level, never applied as a filter in the interface. Three separations carry the model: an owner cannot approve their own number, a manager cannot edit the rubric that judges it, and an admin who can edit the rubric cannot ratify what it produces.</t>
  </si>
  <si>
    <t xml:space="preserve">Calling the API with a manager token for another region returns 404, not a filtered list and not a 403 — a 403 confirms the row exists.</t>
  </si>
  <si>
    <t xml:space="preserve">depends on 9.4 · blocks 8.1, 10.8, 12.5</t>
  </si>
  <si>
    <t xml:space="preserve">9.6</t>
  </si>
  <si>
    <t xml:space="preserve">Redis and object storage</t>
  </si>
  <si>
    <t xml:space="preserve">Redis backs the job queue and sessions; S3 or MinIO holds source workbooks, uploads and generated exports. Uploaded files are retained because they are the evidence behind a snapshot, not a transient input.</t>
  </si>
  <si>
    <t xml:space="preserve">A snapshot can be re-read from object storage months later and reproduces the same figures.</t>
  </si>
  <si>
    <t xml:space="preserve">depends on 9.1</t>
  </si>
  <si>
    <t xml:space="preserve">9.7</t>
  </si>
  <si>
    <t xml:space="preserve">Retention and deletion policy</t>
  </si>
  <si>
    <t xml:space="preserve">Seven years immutable on L1 episodic memory, because it is the audit trail behind revenue figures shown to leadership. Eight quarters on L3 semantic. Deleting a person's account anonymises the display name and leaves their decisions in place — removing the actor would break the audit chain.</t>
  </si>
  <si>
    <t xml:space="preserve">The deletion path is implemented and tested, and a restore drill has been run against the seven-year promise.</t>
  </si>
  <si>
    <t xml:space="preserve">depends on 3.2, 8.2 · blocks 13.5</t>
  </si>
  <si>
    <t xml:space="preserve">9.8</t>
  </si>
  <si>
    <t xml:space="preserve">One-time backfill</t>
  </si>
  <si>
    <t xml:space="preserve">Load the current book of business into the schema with IDs assigned, owners attached and provenance marked as import. Everything it writes carries the lowest trust level, so a later human edit or connector value supersedes it without a conflict.</t>
  </si>
  <si>
    <t xml:space="preserve">Every existing row exists in the database with an ID and an owner, and the workbook stops being the system of record.</t>
  </si>
  <si>
    <t xml:space="preserve">depends on 2.4, 9.1, 4.6</t>
  </si>
  <si>
    <t xml:space="preserve">10.0</t>
  </si>
  <si>
    <t xml:space="preserve">Interfaces</t>
  </si>
  <si>
    <t xml:space="preserve">Phase 1–3</t>
  </si>
  <si>
    <t xml:space="preserve">10.1</t>
  </si>
  <si>
    <t xml:space="preserve">FastAPI gateway</t>
  </si>
  <si>
    <t xml:space="preserve">Thirteen REST endpoints, OpenAPI 3.1 generated from the route signatures, request IDs on everything, idempotency keys on mutations, and an audit write before any mutation returns. One rule enforced at the gateway: confidence is rejected on the opportunity PATCH for every role, always, so there is no path to a confidence value except through a decision.</t>
  </si>
  <si>
    <t xml:space="preserve">The generated OpenAPI document is the reference, and no endpoint exists that is not in it.</t>
  </si>
  <si>
    <t xml:space="preserve">depends on 9.1, 9.4 · blocks 10.2–10.12</t>
  </si>
  <si>
    <t xml:space="preserve">10.2</t>
  </si>
  <si>
    <t xml:space="preserve">Pipeline dashboard</t>
  </si>
  <si>
    <t xml:space="preserve">Weighted and unweighted totals, effective confidence, regional roll-up with concentration alongside the money, and the run banner naming the snapshot. Concentration sits next to the total deliberately: one project carrying 48% of a region is a different risk from the same total spread across six, and a regional roll-up hides that.</t>
  </si>
  <si>
    <t xml:space="preserve">Every figure on the page names the snapshot it came from.</t>
  </si>
  <si>
    <t xml:space="preserve">depends on 5.3, 4.2, 10.1</t>
  </si>
  <si>
    <t xml:space="preserve">10.3</t>
  </si>
  <si>
    <t xml:space="preserve">Opportunity intake form</t>
  </si>
  <si>
    <t xml:space="preserve">The primary intake path. Grouped fields for identity, lifecycle, commercial and confidence, with live Matrix A validation on the status-stage pairing and the baseline shown next to the confidence field as the person types. A deviation greater than 0.05 requires a written reason, which is stored and becomes evidence in the next run's bundle. That last detail is the point of the screen. It turns the agent's monthly job from arguing with a bare number into checking a stated rationale, and it captures the reasoning at the one moment someone actually has it.</t>
  </si>
  <si>
    <t xml:space="preserve">A row created here is indistinguishable downstream from an imported one except in its provenance.</t>
  </si>
  <si>
    <t xml:space="preserve">depends on 1.5, 3.7, 2.3</t>
  </si>
  <si>
    <t xml:space="preserve">10.4</t>
  </si>
  <si>
    <t xml:space="preserve">Opportunities list</t>
  </si>
  <si>
    <t xml:space="preserve">Filterable table with field-level provenance badges and confidence shown as entered against baseline. Showing both turns the list into a deviation report: rows sitting on their baseline are uninteresting, and the one entered at 1.00 against a 0.90 baseline is the row worth a conversation — visible without running anything.</t>
  </si>
  <si>
    <t xml:space="preserve">Every displayed value can show its source without leaving the page.</t>
  </si>
  <si>
    <t xml:space="preserve">depends on 3.6, 10.1</t>
  </si>
  <si>
    <t xml:space="preserve">10.5</t>
  </si>
  <si>
    <t xml:space="preserve">Review console</t>
  </si>
  <si>
    <t xml:space="preserve">The screen the whole architecture exists to serve. Each proposal renders as its factors with rule IDs and verbatim quotes, plus everything the guards threw away: clipped factors showing both the ask and the ceiling, dropped factors with the reason, and factors considered but not applied. Approve, reject and override all write audit rows. Rejected factors are shown as prominently as accepted ones. A reviewer who only ever sees what the model got right has no way to calibrate how much to trust it next month.</t>
  </si>
  <si>
    <t xml:space="preserve">A reviewer can reconstruct the entire proposal without opening the audit log or asking anyone.</t>
  </si>
  <si>
    <t xml:space="preserve">depends on 7.7, 8.1, 5.7</t>
  </si>
  <si>
    <t xml:space="preserve">10.6</t>
  </si>
  <si>
    <t xml:space="preserve">Stage board</t>
  </si>
  <si>
    <t xml:space="preserve">Kanban by stage in funnel order, cards carrying their pending delta. Dragging a card writes a state_history event and requires a reason code to leave a stage — the interaction is the mechanism by which the event stream gets populated, so it cannot be a convenience that skips it.</t>
  </si>
  <si>
    <t xml:space="preserve">No drag can move a card without producing an event and a reason.</t>
  </si>
  <si>
    <t xml:space="preserve">depends on 9.2, 10.1</t>
  </si>
  <si>
    <t xml:space="preserve">10.7</t>
  </si>
  <si>
    <t xml:space="preserve">Rubric and Matrix A admin</t>
  </si>
  <si>
    <t xml:space="preserve">L4 memory with a user interface. Editing produces a draft; publishing stamps a version ID. Existing proposals keep the version that produced them, and the next run picks up the new one. The draft view shows a diff with a stated reason per change and the impact if re-run against the current snapshot. Showing impact before committing is what stops a cap being quietly tuned until the model agrees with you — which is how a calibration layer stops being evidence and becomes decoration.</t>
  </si>
  <si>
    <t xml:space="preserve">Publishing is versioned, reversible, and cannot be done by anyone who can approve a proposal.</t>
  </si>
  <si>
    <t xml:space="preserve">depends on 2.3, 5.7, 9.5 · consumes 8.7</t>
  </si>
  <si>
    <t xml:space="preserve">10.8</t>
  </si>
  <si>
    <t xml:space="preserve">Users and access admin</t>
  </si>
  <si>
    <t xml:space="preserve">Provisioning against the directory, role assignment, region scope, service-account key rotation and a periodic access review. The screen must make the separation of duties visible: an admin sees plainly that they cannot approve, so the constraint reads as design rather than as a bug.</t>
  </si>
  <si>
    <t xml:space="preserve">Every permission in the matrix is settable here and enforced in SQL, with no permission that exists only in the interface.</t>
  </si>
  <si>
    <t xml:space="preserve">depends on 9.4, 9.5</t>
  </si>
  <si>
    <t xml:space="preserve">10.9</t>
  </si>
  <si>
    <t xml:space="preserve">Runs and audit viewer</t>
  </si>
  <si>
    <t xml:space="preserve">Run list, the ten-step trace with per-step status, provenance and token counts, and the append-only event stream underneath. Failed runs stay in the list: a run that raised rather than silently substituting a mock scorer is a successful outcome of the design, and hiding it removes the only evidence the no-silent-fallback rule is holding.</t>
  </si>
  <si>
    <t xml:space="preserve">Any figure on any screen can be traced to the run and event that produced it in two clicks.</t>
  </si>
  <si>
    <t xml:space="preserve">depends on 8.2, 6.6</t>
  </si>
  <si>
    <t xml:space="preserve">10.10</t>
  </si>
  <si>
    <t xml:space="preserve">Per-role landing views</t>
  </si>
  <si>
    <t xml:space="preserve">Four distinct landing pages: the owner opens what is incomplete on their own rows, the manager opens the queue, the director opens concentration before totals, finance opens the quarterly feed. Controls a role cannot use are absent from the markup, not disabled — a greyed-out approve button teaches an owner that approving is part of their job and someone is withholding it. Flagged as a real cost: this is four landing pages rather than one with conditional blocks. Worth confirming before it reaches a backlog.</t>
  </si>
  <si>
    <t xml:space="preserve">Each role's first screen answers that role's first question with no navigation, and no unusable control is rendered anywhere.</t>
  </si>
  <si>
    <t xml:space="preserve">depends on 9.5, 10.2, 10.5</t>
  </si>
  <si>
    <t xml:space="preserve">10.11</t>
  </si>
  <si>
    <t xml:space="preserve">Import wizard and findings view</t>
  </si>
  <si>
    <t xml:space="preserve">Column mapping with a preview, a dry-run validation pass showing what would fail per row, and no commit until the mapping is confirmed. Also renders the Phase 0 findings report in-app, which is the deliverable that exists before any of the rest of this package.</t>
  </si>
  <si>
    <t xml:space="preserve">A bad mapping can be abandoned with zero rows written, and the findings report is the same output the command line produces.</t>
  </si>
  <si>
    <t xml:space="preserve">depends on 4.5, 4.6</t>
  </si>
  <si>
    <t xml:space="preserve">10.12</t>
  </si>
  <si>
    <t xml:space="preserve">MCP server</t>
  </si>
  <si>
    <t xml:space="preserve">Eleven tools for sibling agents, exposed through the Workflow Manager rather than directly at the services, so the ROI Agent consumes Adjusted Revenue through the same audited, region-scoped gateway a person does. Nine are read-only; two write, and neither writes confidence. There is no set_confidence tool, which makes the constraint structural rather than policed.</t>
  </si>
  <si>
    <t xml:space="preserve">The manifest is generated from the same definitions the server serves, and the forecast feed carries a snapshot ID.</t>
  </si>
  <si>
    <t xml:space="preserve">depends on 1.6, 10.1</t>
  </si>
  <si>
    <t xml:space="preserve">10.13</t>
  </si>
  <si>
    <t xml:space="preserve">Webhooks and exports</t>
  </si>
  <si>
    <t xml:space="preserve">Eight events, from run.completed through connector.conflict, and six export formats: a TrackF-shaped workbook for the transition, CSV, a PDF board pack, a JSON run trace, a Parquet snapshot and an ICS milestone feed. Every export carries the snapshot ID and rubric version in its header or filename. That last rule is the one most easily lost. A forecast circulating without a vintage is the failure this whole system exists to remove, and an export is exactly where the discipline slips.</t>
  </si>
  <si>
    <t xml:space="preserve">No export can be produced without a vintage stamp, and every webhook payload is replayable.</t>
  </si>
  <si>
    <t xml:space="preserve">depends on 10.1, 3.2</t>
  </si>
  <si>
    <t xml:space="preserve">11.0</t>
  </si>
  <si>
    <t xml:space="preserve">Connectors</t>
  </si>
  <si>
    <t xml:space="preserve">Phase 2–5</t>
  </si>
  <si>
    <t xml:space="preserve">11.1</t>
  </si>
  <si>
    <t xml:space="preserve">Connector framework</t>
  </si>
  <si>
    <t xml:space="preserve">A base class declaring SUPPLIES, TRUST and CADENCE, plus conflict detection when two sources disagree above a threshold. Write it once: every connector after the first is then a mapping and a schedule rather than a new integration.</t>
  </si>
  <si>
    <t xml:space="preserve">Adding a connector requires declaring what it supplies and at what trust, and nothing else.</t>
  </si>
  <si>
    <t xml:space="preserve">depends on 3.6, 1.5 · blocks 11.2–11.6</t>
  </si>
  <si>
    <t xml:space="preserve">11.2</t>
  </si>
  <si>
    <t xml:space="preserve">Precedence ladder and reconciliation queue</t>
  </si>
  <si>
    <t xml:space="preserve">Human edit beats ERP beats CRM beats POS beats import, decided by rank rather than by whichever ran last. A lower-trust source that disagrees with a higher one raises a conflict instead of losing silently, so a wrong ERP price becomes visible rather than absorbed.</t>
  </si>
  <si>
    <t xml:space="preserve">No connector write can overwrite a human edit, and every suppressed write appears in the reconciliation queue.</t>
  </si>
  <si>
    <t xml:space="preserve">depends on 11.1, 2.6</t>
  </si>
  <si>
    <t xml:space="preserve">11.3</t>
  </si>
  <si>
    <t xml:space="preserve">CRM sync</t>
  </si>
  <si>
    <t xml:space="preserve">Owner, customer, end customer and design status from Salesforce, on a four-hour cadence. Creates the row on opportunity creation so the sales owner completes the commercial fields in-app rather than re-keying identity. This is intake path 02 and the one that removes the most manual work.</t>
  </si>
  <si>
    <t xml:space="preserve">A new CRM opportunity appears in OppTrack with owner and region attached, awaiting only the commercial fields.</t>
  </si>
  <si>
    <t xml:space="preserve">depends on 2.4, 11.1</t>
  </si>
  <si>
    <t xml:space="preserve">11.4</t>
  </si>
  <si>
    <t xml:space="preserve">Distributor POS / POR</t>
  </si>
  <si>
    <t xml:space="preserve">Sell-through actuals by part and region — the highest-value feed in the plan and the cheapest to ask for, since it is usually an existing report on an existing schedule. It writes actuals only and never a forecast field, and it is what eventually makes forecast accuracy measurable.</t>
  </si>
  <si>
    <t xml:space="preserve">Actuals land on a schedule and the accuracy analysis has data to start accumulating against.</t>
  </si>
  <si>
    <t xml:space="preserve">depends on 11.1 · unblocks 6.5</t>
  </si>
  <si>
    <t xml:space="preserve">11.5</t>
  </si>
  <si>
    <t xml:space="preserve">ERP extract</t>
  </si>
  <si>
    <t xml:space="preserve">Bookings, backlog, invoiced ASP, part numbers and SoP dates from SAP, nightly. Authoritative for price fields, which means it overwrites CRM there and flags when the delta exceeds a threshold rather than applying a large price change without comment.</t>
  </si>
  <si>
    <t xml:space="preserve">Price fields come from ERP with provenance, and a large swing raises a conflict rather than landing silently.</t>
  </si>
  <si>
    <t xml:space="preserve">depends on 11.1, 11.2</t>
  </si>
  <si>
    <t xml:space="preserve">11.6</t>
  </si>
  <si>
    <t xml:space="preserve">Vehicle programme data</t>
  </si>
  <si>
    <t xml:space="preserve">Build volumes for the EAU plausibility cross-check and for white-space detection — programmes in the horizon with no opportunity registered against them. The only item in the plan with a recurring external cost, and the only unblock for J-11. Worth pricing early even if deferred: it is what would catch a Funnel row implying a third of global light-vehicle production before it reaches a board pack.</t>
  </si>
  <si>
    <t xml:space="preserve">A licence exists and EAU can be checked against a real programme build forecast.</t>
  </si>
  <si>
    <t xml:space="preserve">blocked: licence required · unblocks 7.2 (J-11)</t>
  </si>
  <si>
    <t xml:space="preserve">11.7</t>
  </si>
  <si>
    <t xml:space="preserve">Outbound notifications</t>
  </si>
  <si>
    <t xml:space="preserve">Slack or Teams delivery for stall, stage-change, win-loss and conflict alerts, with the rationale attached rather than a bare flag. Outbound only, with no write path back — an approval must happen in the console where the full proposal is visible, not from a chat button that shows a delta and nothing else.</t>
  </si>
  <si>
    <t xml:space="preserve">Alerts carry enough context to act on, and no alert offers an approve action.</t>
  </si>
  <si>
    <t xml:space="preserve">depends on 8.5, 10.13</t>
  </si>
  <si>
    <t xml:space="preserve">12.0</t>
  </si>
  <si>
    <t xml:space="preserve">Quality</t>
  </si>
  <si>
    <t xml:space="preserve">Throughout</t>
  </si>
  <si>
    <t xml:space="preserve">12.1</t>
  </si>
  <si>
    <t xml:space="preserve">Calc regression against the workbook</t>
  </si>
  <si>
    <t xml:space="preserve">The existing pattern, extended to every new output. Nine projects are asserted today against ProjectTrack columns O and R. This is the contract with the business: if the test fails, the financial maths changed, and that must never happen silently.</t>
  </si>
  <si>
    <t xml:space="preserve">Every C-number the product displays has an assertion.</t>
  </si>
  <si>
    <t xml:space="preserve">extends 5.6</t>
  </si>
  <si>
    <t xml:space="preserve">12.2</t>
  </si>
  <si>
    <t xml:space="preserve">Rubric fixtures per factor</t>
  </si>
  <si>
    <t xml:space="preserve">Every Matrix B row gets a fixture that should fire and one that should not, including the Aphrodite and Montana misfires as explicit negative cases. Those two are the regression that matters most: they were 44% of the first live run's entire effect, and nothing but a test stops them recurring after a prompt edit.</t>
  </si>
  <si>
    <t xml:space="preserve">All thirteen factors have both a positive and a negative fixture, and the two known misfires are asserted as must-not-fire.</t>
  </si>
  <si>
    <t xml:space="preserve">depends on 7.2, 7.3</t>
  </si>
  <si>
    <t xml:space="preserve">12.3</t>
  </si>
  <si>
    <t xml:space="preserve">Model-path failure tests</t>
  </si>
  <si>
    <t xml:space="preserve">Schema violation, truncation at max_tokens, refusal, missing citation, cap breach, unknown rule ID and a markdown-fenced reply. Each must produce the documented behaviour: raise, clip and flag, or drop the factor onto the violations rail. None may produce a silent mock. The fenced-reply case is not hypothetical — it took out all nine projects on the first live run and fell through to a hard-coded scorer without saying so.</t>
  </si>
  <si>
    <t xml:space="preserve">Every guard has a test that proves it fires, and no failure path returns fabricated numbers.</t>
  </si>
  <si>
    <t xml:space="preserve">depends on 7.4, 7.6</t>
  </si>
  <si>
    <t xml:space="preserve">12.4</t>
  </si>
  <si>
    <t xml:space="preserve">Reproducibility test</t>
  </si>
  <si>
    <t xml:space="preserve">Same snapshot, same numbers. Any difference between two runs must be attributable to a recorded version change — rubric, prompt or model. This is the test that makes the audit trail a claim rather than an aspiration.</t>
  </si>
  <si>
    <t xml:space="preserve">Re-running a stored snapshot reproduces its calc output exactly, and every judgment difference maps to a version stamp.</t>
  </si>
  <si>
    <t xml:space="preserve">depends on 3.2, 7.8, 6.6</t>
  </si>
  <si>
    <t xml:space="preserve">12.5</t>
  </si>
  <si>
    <t xml:space="preserve">Authorisation tests</t>
  </si>
  <si>
    <t xml:space="preserve">Region scope enforced in SQL rather than in the interface, and nobody approving their own proposal. Tested by calling the API directly with a token from the wrong region and asserting 404 — a 403 would confirm the row exists, which on unannounced design wins is itself a leak.</t>
  </si>
  <si>
    <t xml:space="preserve">Every row in the permission matrix has a test, including the ones that assert an action is impossible.</t>
  </si>
  <si>
    <t xml:space="preserve">depends on 9.5, 8.1</t>
  </si>
  <si>
    <t xml:space="preserve">12.6</t>
  </si>
  <si>
    <t xml:space="preserve">Normalisation fixtures from the real file</t>
  </si>
  <si>
    <t xml:space="preserve">The seven TBD values, the two EAU definitions, the date formats, the region spellings and the shifted terminal-tab columns, captured as fixtures from the actual workbook rather than invented. Synthetic fixtures here would pass while the real file fails.</t>
  </si>
  <si>
    <t xml:space="preserve">Every quirk documented in the specification has a fixture that reproduces it.</t>
  </si>
  <si>
    <t xml:space="preserve">depends on 1.2, 3.3, 3.4</t>
  </si>
  <si>
    <t xml:space="preserve">12.7</t>
  </si>
  <si>
    <t xml:space="preserve">Assistant grounding tests</t>
  </si>
  <si>
    <t xml:space="preserve">Asserts that the assistant never reports a figure without a snapshot ID, never claims a factor the stored proposal does not contain, refuses every write it has no tool for, and cannot be prompted across a region boundary. Grounding failures are the likeliest way an unaudited number reaches a person, so they need tests rather than review.</t>
  </si>
  <si>
    <t xml:space="preserve">A suite of adversarial prompts produces refusals and citations, never a bare number.</t>
  </si>
  <si>
    <t xml:space="preserve">depends on 14.1–14.4</t>
  </si>
  <si>
    <t xml:space="preserve">13.0</t>
  </si>
  <si>
    <t xml:space="preserve">Deployment and operations</t>
  </si>
  <si>
    <t xml:space="preserve">Phase 2 onward</t>
  </si>
  <si>
    <t xml:space="preserve">13.1</t>
  </si>
  <si>
    <t xml:space="preserve">Containerised services</t>
  </si>
  <si>
    <t xml:space="preserve">Calc engine stateless, judgment engine, stage tracker and alerting as separate containers, with managed Postgres and Redis. The calc engine being stateless is a design constraint, not a convenience: it must be callable identically from a run, a scenario and an approval.</t>
  </si>
  <si>
    <t xml:space="preserve">The same calc container serves all three callers with no per-caller behaviour.</t>
  </si>
  <si>
    <t xml:space="preserve">depends on 9.1, 9.6</t>
  </si>
  <si>
    <t xml:space="preserve">13.2</t>
  </si>
  <si>
    <t xml:space="preserve">Scheduler for the seven jobs</t>
  </si>
  <si>
    <t xml:space="preserve">Monthly run at the start of the month, event runs on any stage or status change, a nightly stall sweep, a nightly milestone check, an embedding refresh after each ingest, a quarterly calibration rebuild, and connector syncs on their own schedules. Runs must be idempotent on the snapshot so a retry cannot double-apply.</t>
  </si>
  <si>
    <t xml:space="preserve">All seven run on schedule, and a re-triggered run over the same snapshot is a no-op rather than a duplicate.</t>
  </si>
  <si>
    <t xml:space="preserve">depends on 13.1, 3.2</t>
  </si>
  <si>
    <t xml:space="preserve">13.3</t>
  </si>
  <si>
    <t xml:space="preserve">Model hosting and fallback</t>
  </si>
  <si>
    <t xml:space="preserve">Hosted frontier API as primary, with vLLM on the shared RTX PRO 6000 Blackwell as the data residency fallback and the embedding host. Western weights only — Llama, Mistral, Gemma or Command R+, never Qwen or DeepSeek. One card serves this agent and the ROI Agent.</t>
  </si>
  <si>
    <t xml:space="preserve">A residency-restricted run completes on local inference with the same guards applied and the fallback recorded in provenance.</t>
  </si>
  <si>
    <t xml:space="preserve">depends on 7.6, 13.1</t>
  </si>
  <si>
    <t xml:space="preserve">13.4</t>
  </si>
  <si>
    <t xml:space="preserve">Run observability</t>
  </si>
  <si>
    <t xml:space="preserve">Per run: mode, cost, latency, failure rate, which request rung was used, how many factors were dropped and why, and how many rows queued. Two metrics deserve alerts of their own — any mock-fallback occurrence, which should be zero forever, and a rising not-assessable rate, which means a connector has quietly stopped supplying a field.</t>
  </si>
  <si>
    <t xml:space="preserve">A degraded run is visible from a dashboard before a reviewer notices it in the queue.</t>
  </si>
  <si>
    <t xml:space="preserve">depends on 7.8, 13.2</t>
  </si>
  <si>
    <t xml:space="preserve">13.5</t>
  </si>
  <si>
    <t xml:space="preserve">Backup and restore drill</t>
  </si>
  <si>
    <t xml:space="preserve">An actual restore, performed and timed, against the seven-year retention promise on L1. A backup that has never been restored is a belief rather than a control, and the promise here is attached to revenue figures shown to leadership.</t>
  </si>
  <si>
    <t xml:space="preserve">A snapshot from the oldest retained vintage is restored and reproduces its original figures.</t>
  </si>
  <si>
    <t xml:space="preserve">depends on 9.7</t>
  </si>
  <si>
    <t xml:space="preserve">13.6</t>
  </si>
  <si>
    <t xml:space="preserve">Cost and quota controls</t>
  </si>
  <si>
    <t xml:space="preserve">One model call per run keeps this small, but the assistant is per-question and unbounded. Needs a per-user quota, a per-run token ceiling, and an alert when either trends up — the failure mode is a chat surface quietly becoming the dominant cost centre without anyone deciding it should.</t>
  </si>
  <si>
    <t xml:space="preserve">Cost per run and per active user are reported, with a hard ceiling that degrades gracefully rather than failing a run.</t>
  </si>
  <si>
    <t xml:space="preserve">depends on 13.4, 14.5</t>
  </si>
  <si>
    <t xml:space="preserve">14.0</t>
  </si>
  <si>
    <t xml:space="preserve">Assistant</t>
  </si>
  <si>
    <t xml:space="preserve">14.1</t>
  </si>
  <si>
    <t xml:space="preserve">Tool surface</t>
  </si>
  <si>
    <t xml:space="preserve">Six read tools, one pure scenario tool, and two writes that a person completes: open_review(prefill) which opens the console rather than deciding, and add_note which is attributed to the user. No set_confidence, no approve, no reject. Every tool inherits the caller's region scope from the session, applied in SQL.</t>
  </si>
  <si>
    <t xml:space="preserve">The tool list contains no path to a confidence write, and scope is applied server-side rather than passed as a parameter.</t>
  </si>
  <si>
    <t xml:space="preserve">depends on 9.5, 10.1 · blocks 12.7</t>
  </si>
  <si>
    <t xml:space="preserve">14.2</t>
  </si>
  <si>
    <t xml:space="preserve">Grounding and citation rules</t>
  </si>
  <si>
    <t xml:space="preserve">Every reported figure names its snapshot and the engine that produced it. Every claim about a proposal quotes the stored factors verbatim rather than re-deriving them — re-deriving would produce a second opinion that disagrees with the one in the audit log, which is worse than no answer.</t>
  </si>
  <si>
    <t xml:space="preserve">No answer containing a number can be produced without a citation chip attached to it.</t>
  </si>
  <si>
    <t xml:space="preserve">depends on 14.1</t>
  </si>
  <si>
    <t xml:space="preserve">14.3</t>
  </si>
  <si>
    <t xml:space="preserve">What-if answering</t>
  </si>
  <si>
    <t xml:space="preserve">Routes scenario questions through the same recompute service the review console uses, so "what is the total if I approve everything" returns the number an approval would actually produce, not an estimate. Persists nothing.</t>
  </si>
  <si>
    <t xml:space="preserve">A scenario answer matches the post-approval figure exactly, and leaves no database trace.</t>
  </si>
  <si>
    <t xml:space="preserve">depends on 5.7, 14.1</t>
  </si>
  <si>
    <t xml:space="preserve">14.4</t>
  </si>
  <si>
    <t xml:space="preserve">Refusal and redirect behaviour</t>
  </si>
  <si>
    <t xml:space="preserve">When asked to write a confidence value the assistant declines, offers the two things it can actually do, and adds the one fact that changes the decision — for example that the proposed value would sit above the Matrix A baseline and is likely to be challenged next run. Both simpler behaviours are wrong. Quietly doing the write puts an unaudited number into a board pack; only saying no is useless. The useful behaviour is the third option, and it needs writing deliberately.</t>
  </si>
  <si>
    <t xml:space="preserve">Every refusal is paired with a concrete alternative and, where one exists, the fact that changes the decision.</t>
  </si>
  <si>
    <t xml:space="preserve">depends on 14.1, 14.2</t>
  </si>
  <si>
    <t xml:space="preserve">14.5</t>
  </si>
  <si>
    <t xml:space="preserve">Conversation logging</t>
  </si>
  <si>
    <t xml:space="preserve">Log the question, the tools called, the scope applied and the citations returned — not for surveillance, but because the assistant is the surface most likely to produce a figure someone later quotes in a meeting. When that happens, the log is how anyone establishes what was actually said and from which vintage.</t>
  </si>
  <si>
    <t xml:space="preserve">Any answer a user quotes can be reconstructed from the log, including the snapshot it was drawn from.</t>
  </si>
  <si>
    <t xml:space="preserve">depends on 14.1 · feeds 13.6</t>
  </si>
  <si>
    <t xml:space="preserve">14.6</t>
  </si>
  <si>
    <t xml:space="preserve">Embed the panel in the Workflow Manager</t>
  </si>
  <si>
    <t xml:space="preserve">The conversational panel lives inside the existing platform shell rather than as a separate app, sharing the session and the scope. A second login for the chat surface would be both an irritation and a security seam.</t>
  </si>
  <si>
    <t xml:space="preserve">The panel authenticates from the host session with no separate credential.</t>
  </si>
  <si>
    <t xml:space="preserve">depends on 9.4, 14.1</t>
  </si>
  <si>
    <t xml:space="preserve">15.0</t>
  </si>
  <si>
    <t xml:space="preserve">Documentation and adoption</t>
  </si>
  <si>
    <t xml:space="preserve">15.1</t>
  </si>
  <si>
    <t xml:space="preserve">Reviewer handbook</t>
  </si>
  <si>
    <t xml:space="preserve">What each of the thirteen factors means, when to override, what approving commits you to, and what a not-assessable result is telling you. Linked from every proposal in the console rather than filed somewhere. This is the single document that decides whether the product works. Everything upstream is engineering discipline; the value only lands if a sales manager reading a proposal at 8am understands what J-05 is claiming and feels able to reject it.</t>
  </si>
  <si>
    <t xml:space="preserve">A manager who has never seen the system can action a queue item correctly using only the handbook.</t>
  </si>
  <si>
    <t xml:space="preserve">depends on 7.2, 10.5</t>
  </si>
  <si>
    <t xml:space="preserve">15.2</t>
  </si>
  <si>
    <t xml:space="preserve">Getting started for sales owners</t>
  </si>
  <si>
    <t xml:space="preserve">In-app, first-run: how to enter an opportunity, what happens to it afterwards, why the baseline appears next to the confidence field, and why a deviation asks for a reason. Short, and shown once.</t>
  </si>
  <si>
    <t xml:space="preserve">A new owner completes their first opportunity without asking a colleague.</t>
  </si>
  <si>
    <t xml:space="preserve">depends on 10.3</t>
  </si>
  <si>
    <t xml:space="preserve">15.3</t>
  </si>
  <si>
    <t xml:space="preserve">Generated rubric and parameter pages</t>
  </si>
  <si>
    <t xml:space="preserve">The rubric page from the rubric module and Matrix A, versioned and diffable. The parameter dictionary from the ParamSpec registry. The validation rules page from each rule's requires declaration. All three generated at build time, never maintained by hand.</t>
  </si>
  <si>
    <t xml:space="preserve">Changing a cap in code changes the published page in the same commit, with no manual step.</t>
  </si>
  <si>
    <t xml:space="preserve">depends on 2.1, 2.3, 4.1</t>
  </si>
  <si>
    <t xml:space="preserve">15.4</t>
  </si>
  <si>
    <t xml:space="preserve">API and MCP reference</t>
  </si>
  <si>
    <t xml:space="preserve">OpenAPI 3.1 from the FastAPI route signatures and the MCP manifest from the same tool definitions the server serves. Auth, idempotency, error shapes and webhook payloads documented alongside, with a worked example for the approve flow.</t>
  </si>
  <si>
    <t xml:space="preserve">An integrator can call the forecast feed without asking anyone a question.</t>
  </si>
  <si>
    <t xml:space="preserve">depends on 10.1, 10.12</t>
  </si>
  <si>
    <t xml:space="preserve">15.5</t>
  </si>
  <si>
    <t xml:space="preserve">Connector guide</t>
  </si>
  <si>
    <t xml:space="preserve">Per-connector field mapping, trust level, cadence, and how conflicts are resolved. Written for the IT team who will own the integrations, not for the team who built them.</t>
  </si>
  <si>
    <t xml:space="preserve">A new connector can be configured by someone who has not read the codebase.</t>
  </si>
  <si>
    <t xml:space="preserve">15.6</t>
  </si>
  <si>
    <t xml:space="preserve">Architecture and audit pack</t>
  </si>
  <si>
    <t xml:space="preserve">The layers, the guards, the retention rules and how to reproduce a run, for engineering and compliance. Largely written — the architecture document, the six layer plates and the product surface cover it — and needs updating as the build diverges from the plan rather than being authored fresh.</t>
  </si>
  <si>
    <t xml:space="preserve">The pack describes what was built, not what was designed, with the differences called out.</t>
  </si>
  <si>
    <t xml:space="preserve">15.7</t>
  </si>
  <si>
    <t xml:space="preserve">Rollout and training</t>
  </si>
  <si>
    <t xml:space="preserve">Region by region rather than all at once, starting with the region whose data is cleanest, and running the workbook in parallel for one cycle so the two can be reconciled. The first month's proposals should be reviewed together as a group, because that is where the rubric gets calibrated against how the business actually reasons.</t>
  </si>
  <si>
    <t xml:space="preserve">One region is running without the workbook and its totals reconcile to the last parallel cycle.</t>
  </si>
  <si>
    <t xml:space="preserve">depends on 9.8, 15.1, 15.2</t>
  </si>
  <si>
    <t xml:space="preserve">Tasks</t>
  </si>
  <si>
    <t xml:space="preserve">% complete</t>
  </si>
  <si>
    <t xml:space="preserve">What it delivers</t>
  </si>
  <si>
    <t xml:space="preserve">Four answers and a confirmed source file. Releases 2.3, 2.4, 4.3 and 8.3, and unfreezes tuning of 7.3.</t>
  </si>
  <si>
    <t xml:space="preserve">The parameter registry every other layer declares against, canonical enums, Matrix A as versioned config, and the Opportunity ID.</t>
  </si>
  <si>
    <t xml:space="preserve">One canonical snapshot with provenance on every value, from all four intake paths.</t>
  </si>
  <si>
    <t xml:space="preserve">The Phase 0 deliverable: a generated data-quality report over the real workbook, with no database, auth or model.</t>
  </si>
  <si>
    <t xml:space="preserve">Every currency figure the product shows, plus the figures the spreadsheet collects inputs for and never computes.</t>
  </si>
  <si>
    <t xml:space="preserve">Six deterministic analyses that run on today data, and a run-to-run diff that attributes every change.</t>
  </si>
  <si>
    <t xml:space="preserve">A cited, capped, guarded confidence proposal from one model call. Mostly prototyped already.</t>
  </si>
  <si>
    <t xml:space="preserve">The review queue and the audit log: the safety property that makes a bad run noise instead of a wrong number.</t>
  </si>
  <si>
    <t xml:space="preserve">Postgres, real joins, the state_history event stream, SSO and region scope enforced in SQL.</t>
  </si>
  <si>
    <t xml:space="preserve">Ten screens, the REST gateway, the MCP server, webhooks and six export formats.</t>
  </si>
  <si>
    <t xml:space="preserve">CRM, ERP and distributor feeds writing provenanced values under an explicit precedence ladder.</t>
  </si>
  <si>
    <t xml:space="preserve">Proof the arithmetic matches the spreadsheet and the model path cannot write a number.</t>
  </si>
  <si>
    <t xml:space="preserve">Containers, the seven scheduled jobs, hosted and local inference, observability and a restore drill.</t>
  </si>
  <si>
    <t xml:space="preserve">A read-only assistant that explains proposals and figures with citations, and has no tool that writes confidence.</t>
  </si>
  <si>
    <t xml:space="preserve">The reviewer handbook, generated rubric pages, API reference, and a region-by-region rollout.</t>
  </si>
  <si>
    <t xml:space="preserve">TOTAL</t>
  </si>
  <si>
    <t xml:space="preserve">Waiting on</t>
  </si>
  <si>
    <t xml:space="preserve">Clears with</t>
  </si>
  <si>
    <t xml:space="preserve">Impact when it clears</t>
  </si>
  <si>
    <t xml:space="preserve">Answers from David</t>
  </si>
  <si>
    <t xml:space="preserve">Releases 2.3, 2.4, 4.3 and 8.3, and unfreezes tuning of 7.3. Four answers, eleven consequences.</t>
  </si>
  <si>
    <t xml:space="preserve">blocked on 1.1 (Q1, Q2)</t>
  </si>
  <si>
    <t xml:space="preserve">1.1 (Q1, Q2)</t>
  </si>
  <si>
    <t xml:space="preserve">The judgment layer stops inventing a confidence number and starts justifying a deviation from an agreed one.</t>
  </si>
  <si>
    <t xml:space="preserve">blocked on 1.1 (identity questions)</t>
  </si>
  <si>
    <t xml:space="preserve">1.1 (identity)</t>
  </si>
  <si>
    <t xml:space="preserve">All five cross-tab joins become real foreign keys. The single highest-value item in the plan.</t>
  </si>
  <si>
    <t xml:space="preserve">blocked on 1.1 (Q1 and invalid-pairing policy)</t>
  </si>
  <si>
    <t xml:space="preserve">1.1 (Q1 + policy)</t>
  </si>
  <si>
    <t xml:space="preserve">Bad status/stage pairings get caught at intake rather than surviving into a weighted total.</t>
  </si>
  <si>
    <t xml:space="preserve">A phasing decision</t>
  </si>
  <si>
    <t xml:space="preserve">Quarterly revenue becomes defensible, and the ROI hand-off gets the year list it expects.</t>
  </si>
  <si>
    <t xml:space="preserve">Targets being defined</t>
  </si>
  <si>
    <t xml:space="preserve">Coverage against target becomes reportable. Trivial once a target number exists.</t>
  </si>
  <si>
    <t xml:space="preserve">2 quarters of history</t>
  </si>
  <si>
    <t xml:space="preserve">Owner and region bias become computable. This is what makes the agent improve rather than merely stay consistent.</t>
  </si>
  <si>
    <t xml:space="preserve">A column copied</t>
  </si>
  <si>
    <t xml:space="preserve">J-02 fires immediately. The cheapest unblock in the whole plan: one column copied onto the tracked row.</t>
  </si>
  <si>
    <t xml:space="preserve">blocked on 1.1 (Q3)</t>
  </si>
  <si>
    <t xml:space="preserve">1.1 (Q3)</t>
  </si>
  <si>
    <t xml:space="preserve">Step 8 of a run switches on. Until then the agent proposes confidence and nothing else.</t>
  </si>
  <si>
    <t xml:space="preserve">blocked: licence required</t>
  </si>
  <si>
    <t xml:space="preserve">A data licence</t>
  </si>
  <si>
    <t xml:space="preserve">J-11 EAU plausibility fires, and white-space detection becomes possible. The only recurring external cost.</t>
  </si>
  <si>
    <t xml:space="preserve">Count check</t>
  </si>
  <si>
    <t xml:space="preserve">blocked tasks on the WBS sheet; the rows above must equal this</t>
  </si>
</sst>
</file>

<file path=xl/styles.xml><?xml version="1.0" encoding="utf-8"?>
<styleSheet xmlns="http://schemas.openxmlformats.org/spreadsheetml/2006/main">
  <numFmts count="2">
    <numFmt numFmtId="164" formatCode="General"/>
    <numFmt numFmtId="165" formatCode="0%"/>
  </numFmts>
  <fonts count="18">
    <font>
      <sz val="11"/>
      <color theme="1"/>
      <name val="Calibri"/>
      <family val="2"/>
      <charset val="1"/>
    </font>
    <font>
      <sz val="10"/>
      <name val="Arial"/>
      <family val="0"/>
    </font>
    <font>
      <sz val="10"/>
      <name val="Arial"/>
      <family val="0"/>
    </font>
    <font>
      <sz val="10"/>
      <name val="Arial"/>
      <family val="0"/>
    </font>
    <font>
      <b val="true"/>
      <sz val="16"/>
      <color rgb="FF1F2933"/>
      <name val="Arial"/>
      <family val="0"/>
      <charset val="1"/>
    </font>
    <font>
      <sz val="10"/>
      <color rgb="FF6A7785"/>
      <name val="Arial"/>
      <family val="0"/>
      <charset val="1"/>
    </font>
    <font>
      <b val="true"/>
      <sz val="11"/>
      <color rgb="FF1F2933"/>
      <name val="Arial"/>
      <family val="0"/>
      <charset val="1"/>
    </font>
    <font>
      <b val="true"/>
      <sz val="10"/>
      <color rgb="FF1F2933"/>
      <name val="Arial"/>
      <family val="0"/>
      <charset val="1"/>
    </font>
    <font>
      <sz val="10"/>
      <color rgb="FF1F2933"/>
      <name val="Arial"/>
      <family val="0"/>
      <charset val="1"/>
    </font>
    <font>
      <b val="true"/>
      <sz val="10"/>
      <color rgb="FFFFFFFF"/>
      <name val="Arial"/>
      <family val="0"/>
      <charset val="1"/>
    </font>
    <font>
      <b val="true"/>
      <sz val="10"/>
      <color rgb="FF1A5787"/>
      <name val="Arial"/>
      <family val="0"/>
      <charset val="1"/>
    </font>
    <font>
      <sz val="9"/>
      <color rgb="FF6A7785"/>
      <name val="Arial"/>
      <family val="0"/>
      <charset val="1"/>
    </font>
    <font>
      <b val="true"/>
      <sz val="9"/>
      <color rgb="FFA93129"/>
      <name val="Arial"/>
      <family val="0"/>
      <charset val="1"/>
    </font>
    <font>
      <sz val="10"/>
      <color rgb="FF0000FF"/>
      <name val="Arial"/>
      <family val="0"/>
      <charset val="1"/>
    </font>
    <font>
      <b val="true"/>
      <sz val="9"/>
      <color rgb="FF6A7785"/>
      <name val="Arial"/>
      <family val="0"/>
      <charset val="1"/>
    </font>
    <font>
      <b val="true"/>
      <sz val="9"/>
      <color rgb="FF9E560F"/>
      <name val="Arial"/>
      <family val="0"/>
      <charset val="1"/>
    </font>
    <font>
      <b val="true"/>
      <sz val="9"/>
      <color rgb="FF1B6F55"/>
      <name val="Arial"/>
      <family val="0"/>
      <charset val="1"/>
    </font>
    <font>
      <sz val="10"/>
      <color rgb="FFA93129"/>
      <name val="Arial"/>
      <family val="0"/>
      <charset val="1"/>
    </font>
  </fonts>
  <fills count="10">
    <fill>
      <patternFill patternType="none"/>
    </fill>
    <fill>
      <patternFill patternType="gray125"/>
    </fill>
    <fill>
      <patternFill patternType="solid">
        <fgColor rgb="FF1A5787"/>
        <bgColor rgb="FF1B6F55"/>
      </patternFill>
    </fill>
    <fill>
      <patternFill patternType="solid">
        <fgColor rgb="FFE0EBF4"/>
        <bgColor rgb="FFDFF0E9"/>
      </patternFill>
    </fill>
    <fill>
      <patternFill patternType="solid">
        <fgColor rgb="FFF7E4E2"/>
        <bgColor rgb="FFF8EADA"/>
      </patternFill>
    </fill>
    <fill>
      <patternFill patternType="solid">
        <fgColor rgb="FFF3F5F8"/>
        <bgColor rgb="FFEFF3F7"/>
      </patternFill>
    </fill>
    <fill>
      <patternFill patternType="solid">
        <fgColor rgb="FFF8EADA"/>
        <bgColor rgb="FFF7E4E2"/>
      </patternFill>
    </fill>
    <fill>
      <patternFill patternType="solid">
        <fgColor rgb="FFDFF0E9"/>
        <bgColor rgb="FFE0EBF4"/>
      </patternFill>
    </fill>
    <fill>
      <patternFill patternType="solid">
        <fgColor rgb="FFEFF3F7"/>
        <bgColor rgb="FFF3F5F8"/>
      </patternFill>
    </fill>
    <fill>
      <patternFill patternType="solid">
        <fgColor rgb="FFA93129"/>
        <bgColor rgb="FF993366"/>
      </patternFill>
    </fill>
  </fills>
  <borders count="2">
    <border diagonalUp="false" diagonalDown="false">
      <left/>
      <right/>
      <top/>
      <bottom/>
      <diagonal/>
    </border>
    <border diagonalUp="false" diagonalDown="false">
      <left style="thin">
        <color rgb="FFD2DAE2"/>
      </left>
      <right style="thin">
        <color rgb="FFD2DAE2"/>
      </right>
      <top style="thin">
        <color rgb="FFD2DAE2"/>
      </top>
      <bottom style="thin">
        <color rgb="FFD2DAE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left" vertical="center"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left"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false">
      <alignment horizontal="center" vertical="top" textRotation="0" wrapText="false" indent="0" shrinkToFit="false"/>
      <protection locked="true" hidden="false"/>
    </xf>
    <xf numFmtId="164" fontId="15" fillId="6" borderId="1" xfId="0" applyFont="true" applyBorder="true" applyAlignment="true" applyProtection="false">
      <alignment horizontal="center" vertical="top" textRotation="0" wrapText="false" indent="0" shrinkToFit="false"/>
      <protection locked="true" hidden="false"/>
    </xf>
    <xf numFmtId="164" fontId="16" fillId="7" borderId="1" xfId="0" applyFont="true" applyBorder="true" applyAlignment="true" applyProtection="false">
      <alignment horizontal="center" vertical="top" textRotation="0" wrapText="false" indent="0" shrinkToFit="false"/>
      <protection locked="true" hidden="false"/>
    </xf>
    <xf numFmtId="164" fontId="9" fillId="2" borderId="1" xfId="0" applyFont="true" applyBorder="true" applyAlignment="true" applyProtection="false">
      <alignment horizontal="general" vertical="center"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7" fillId="8" borderId="1" xfId="0" applyFont="true" applyBorder="true" applyAlignment="false" applyProtection="false">
      <alignment horizontal="general" vertical="bottom" textRotation="0" wrapText="false" indent="0" shrinkToFit="false"/>
      <protection locked="true" hidden="false"/>
    </xf>
    <xf numFmtId="164" fontId="7" fillId="8" borderId="1" xfId="0" applyFont="true" applyBorder="true" applyAlignment="true" applyProtection="false">
      <alignment horizontal="center" vertical="bottom" textRotation="0" wrapText="false" indent="0" shrinkToFit="false"/>
      <protection locked="true" hidden="false"/>
    </xf>
    <xf numFmtId="165" fontId="7" fillId="8" borderId="1" xfId="0" applyFont="true" applyBorder="true" applyAlignment="false" applyProtection="false">
      <alignment horizontal="general" vertical="bottom" textRotation="0" wrapText="false" indent="0" shrinkToFit="false"/>
      <protection locked="true" hidden="false"/>
    </xf>
    <xf numFmtId="164" fontId="9" fillId="9" borderId="1"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A5787"/>
          <bgColor rgb="FF000000"/>
        </patternFill>
      </fill>
    </dxf>
    <dxf>
      <fill>
        <patternFill patternType="solid">
          <fgColor rgb="FFE0EBF4"/>
          <bgColor rgb="FF000000"/>
        </patternFill>
      </fill>
    </dxf>
    <dxf>
      <fill>
        <patternFill patternType="solid">
          <bgColor rgb="FF000000"/>
        </patternFill>
      </fill>
    </dxf>
    <dxf>
      <fill>
        <patternFill patternType="solid">
          <fgColor rgb="FF6A7785"/>
          <bgColor rgb="FF000000"/>
        </patternFill>
      </fill>
    </dxf>
    <dxf>
      <fill>
        <patternFill patternType="solid">
          <fgColor rgb="FFFFFFFF"/>
          <bgColor rgb="FF000000"/>
        </patternFill>
      </fill>
    </dxf>
    <dxf>
      <fill>
        <patternFill patternType="solid">
          <fgColor rgb="FF1F2933"/>
          <bgColor rgb="FF000000"/>
        </patternFill>
      </fill>
    </dxf>
    <dxf>
      <fill>
        <patternFill patternType="solid">
          <fgColor rgb="FF000000"/>
          <bgColor rgb="FF000000"/>
        </patternFill>
      </fill>
    </dxf>
    <dxf>
      <fill>
        <patternFill patternType="solid">
          <fgColor rgb="FFDFF0E9"/>
          <bgColor rgb="FF000000"/>
        </patternFill>
      </fill>
    </dxf>
    <dxf>
      <fill>
        <patternFill patternType="solid">
          <fgColor rgb="FFF3F5F8"/>
          <bgColor rgb="FF000000"/>
        </patternFill>
      </fill>
    </dxf>
    <dxf>
      <fill>
        <patternFill patternType="solid">
          <fgColor rgb="FFF7E4E2"/>
          <bgColor rgb="FF000000"/>
        </patternFill>
      </fill>
    </dxf>
    <dxf>
      <fill>
        <patternFill patternType="solid">
          <fgColor rgb="FFF8EADA"/>
          <bgColor rgb="FF000000"/>
        </patternFill>
      </fill>
    </dxf>
    <dxf>
      <fill>
        <patternFill patternType="solid">
          <fgColor rgb="FF1B6F55"/>
          <bgColor rgb="FF000000"/>
        </patternFill>
      </fill>
    </dxf>
    <dxf>
      <fill>
        <patternFill patternType="solid">
          <fgColor rgb="FF9E560F"/>
          <bgColor rgb="FF000000"/>
        </patternFill>
      </fill>
    </dxf>
    <dxf>
      <fill>
        <patternFill patternType="solid">
          <fgColor rgb="FFA9312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9E560F"/>
      <rgbColor rgb="FF800080"/>
      <rgbColor rgb="FF1B6F55"/>
      <rgbColor rgb="FFC0C0C0"/>
      <rgbColor rgb="FF6A7785"/>
      <rgbColor rgb="FF9999FF"/>
      <rgbColor rgb="FF993366"/>
      <rgbColor rgb="FFF8EADA"/>
      <rgbColor rgb="FFDFF0E9"/>
      <rgbColor rgb="FF660066"/>
      <rgbColor rgb="FFFF8080"/>
      <rgbColor rgb="FF1A5787"/>
      <rgbColor rgb="FFD2DAE2"/>
      <rgbColor rgb="FF000080"/>
      <rgbColor rgb="FFFF00FF"/>
      <rgbColor rgb="FFFFFF00"/>
      <rgbColor rgb="FF00FFFF"/>
      <rgbColor rgb="FF800080"/>
      <rgbColor rgb="FF800000"/>
      <rgbColor rgb="FF008080"/>
      <rgbColor rgb="FF0000FF"/>
      <rgbColor rgb="FF00CCFF"/>
      <rgbColor rgb="FFE0EBF4"/>
      <rgbColor rgb="FFEFF3F7"/>
      <rgbColor rgb="FFF3F5F8"/>
      <rgbColor rgb="FF99CCFF"/>
      <rgbColor rgb="FFFF99CC"/>
      <rgbColor rgb="FFCC99FF"/>
      <rgbColor rgb="FFF7E4E2"/>
      <rgbColor rgb="FF3366FF"/>
      <rgbColor rgb="FF33CCCC"/>
      <rgbColor rgb="FF99CC00"/>
      <rgbColor rgb="FFFFCC00"/>
      <rgbColor rgb="FFFF9900"/>
      <rgbColor rgb="FFFF6600"/>
      <rgbColor rgb="FF666699"/>
      <rgbColor rgb="FF969696"/>
      <rgbColor rgb="FF003366"/>
      <rgbColor rgb="FF339966"/>
      <rgbColor rgb="FF003300"/>
      <rgbColor rgb="FF333300"/>
      <rgbColor rgb="FFA93129"/>
      <rgbColor rgb="FF993366"/>
      <rgbColor rgb="FF333399"/>
      <rgbColor rgb="FF1F29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04"/>
  </cols>
  <sheetData>
    <row r="1" customFormat="false" ht="19.7" hidden="false" customHeight="false" outlineLevel="0" collapsed="false">
      <c r="A1" s="1" t="s">
        <v>0</v>
      </c>
    </row>
    <row r="2" customFormat="false" ht="15" hidden="false" customHeight="false" outlineLevel="0" collapsed="false">
      <c r="A2" s="2" t="s">
        <v>1</v>
      </c>
    </row>
    <row r="5" customFormat="false" ht="15" hidden="false" customHeight="false" outlineLevel="0" collapsed="false">
      <c r="A5" s="3" t="s">
        <v>2</v>
      </c>
    </row>
    <row r="6" customFormat="false" ht="15" hidden="false" customHeight="false" outlineLevel="0" collapsed="false">
      <c r="A6" s="4" t="s">
        <v>3</v>
      </c>
      <c r="B6" s="5" t="s">
        <v>4</v>
      </c>
    </row>
    <row r="7" customFormat="false" ht="15" hidden="false" customHeight="false" outlineLevel="0" collapsed="false">
      <c r="A7" s="4" t="s">
        <v>5</v>
      </c>
      <c r="B7" s="5" t="s">
        <v>6</v>
      </c>
    </row>
    <row r="8" customFormat="false" ht="15" hidden="false" customHeight="false" outlineLevel="0" collapsed="false">
      <c r="A8" s="4" t="s">
        <v>7</v>
      </c>
      <c r="B8" s="5" t="s">
        <v>8</v>
      </c>
    </row>
    <row r="10" customFormat="false" ht="15" hidden="false" customHeight="false" outlineLevel="0" collapsed="false">
      <c r="A10" s="3" t="s">
        <v>9</v>
      </c>
    </row>
    <row r="11" customFormat="false" ht="15" hidden="false" customHeight="false" outlineLevel="0" collapsed="false">
      <c r="A11" s="4" t="s">
        <v>10</v>
      </c>
      <c r="B11" s="5" t="s">
        <v>11</v>
      </c>
    </row>
    <row r="13" customFormat="false" ht="15" hidden="false" customHeight="false" outlineLevel="0" collapsed="false">
      <c r="A13" s="3" t="s">
        <v>12</v>
      </c>
    </row>
    <row r="14" customFormat="false" ht="15" hidden="false" customHeight="false" outlineLevel="0" collapsed="false">
      <c r="A14" s="4" t="s">
        <v>13</v>
      </c>
      <c r="B14" s="5" t="s">
        <v>14</v>
      </c>
    </row>
    <row r="15" customFormat="false" ht="15" hidden="false" customHeight="false" outlineLevel="0" collapsed="false">
      <c r="A15" s="4" t="s">
        <v>15</v>
      </c>
      <c r="B15" s="5" t="s">
        <v>16</v>
      </c>
    </row>
    <row r="16" customFormat="false" ht="15" hidden="false" customHeight="false" outlineLevel="0" collapsed="false">
      <c r="A16" s="4" t="s">
        <v>17</v>
      </c>
      <c r="B16" s="5" t="s">
        <v>18</v>
      </c>
    </row>
    <row r="17" customFormat="false" ht="15" hidden="false" customHeight="false" outlineLevel="0" collapsed="false">
      <c r="A17" s="4" t="s">
        <v>7</v>
      </c>
      <c r="B17" s="5" t="s">
        <v>19</v>
      </c>
    </row>
    <row r="19" customFormat="false" ht="15" hidden="false" customHeight="false" outlineLevel="0" collapsed="false">
      <c r="A19" s="3" t="s">
        <v>20</v>
      </c>
    </row>
    <row r="20" customFormat="false" ht="15" hidden="false" customHeight="false" outlineLevel="0" collapsed="false">
      <c r="A20" s="4" t="s">
        <v>21</v>
      </c>
      <c r="B20" s="5" t="s">
        <v>22</v>
      </c>
    </row>
    <row r="22" customFormat="false" ht="15" hidden="false" customHeight="false" outlineLevel="0" collapsed="false">
      <c r="A22" s="3" t="s">
        <v>23</v>
      </c>
    </row>
    <row r="23" customFormat="false" ht="15" hidden="false" customHeight="false" outlineLevel="0" collapsed="false">
      <c r="A23" s="4" t="s">
        <v>24</v>
      </c>
      <c r="B23" s="5" t="s">
        <v>25</v>
      </c>
    </row>
    <row r="24" customFormat="false" ht="15" hidden="false" customHeight="false" outlineLevel="0" collapsed="false">
      <c r="A24" s="4" t="s">
        <v>26</v>
      </c>
      <c r="B24" s="5" t="s">
        <v>27</v>
      </c>
    </row>
    <row r="25" customFormat="false" ht="15" hidden="false" customHeight="false" outlineLevel="0" collapsed="false">
      <c r="A25" s="4" t="s">
        <v>28</v>
      </c>
      <c r="B25" s="5" t="s">
        <v>29</v>
      </c>
    </row>
    <row r="26" customFormat="false" ht="15" hidden="false" customHeight="false" outlineLevel="0" collapsed="false">
      <c r="A26" s="4" t="s">
        <v>30</v>
      </c>
      <c r="B26" s="5" t="s">
        <v>31</v>
      </c>
    </row>
    <row r="27" customFormat="false" ht="15" hidden="false" customHeight="false" outlineLevel="0" collapsed="false">
      <c r="A27" s="4" t="s">
        <v>32</v>
      </c>
      <c r="B27" s="5" t="s">
        <v>33</v>
      </c>
    </row>
    <row r="28" customFormat="false" ht="15" hidden="false" customHeight="false" outlineLevel="0" collapsed="false">
      <c r="A28" s="4" t="s">
        <v>34</v>
      </c>
      <c r="B28" s="5" t="s">
        <v>35</v>
      </c>
    </row>
    <row r="30" customFormat="false" ht="15" hidden="false" customHeight="false" outlineLevel="0" collapsed="false">
      <c r="A30" s="3" t="s">
        <v>36</v>
      </c>
    </row>
    <row r="31" customFormat="false" ht="15" hidden="false" customHeight="false" outlineLevel="0" collapsed="false">
      <c r="A31" s="4" t="s">
        <v>37</v>
      </c>
      <c r="B31" s="5" t="s">
        <v>38</v>
      </c>
    </row>
    <row r="32" customFormat="false" ht="15" hidden="false" customHeight="false" outlineLevel="0" collapsed="false">
      <c r="A32" s="4" t="s">
        <v>39</v>
      </c>
      <c r="B32" s="5"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13"/>
    <col collapsed="false" customWidth="true" hidden="false" outlineLevel="0" max="4" min="4" style="0" width="44"/>
    <col collapsed="false" customWidth="true" hidden="false" outlineLevel="0" max="5" min="5" style="0" width="10"/>
    <col collapsed="false" customWidth="true" hidden="false" outlineLevel="0" max="6" min="6" style="0" width="7"/>
    <col collapsed="false" customWidth="true" hidden="false" outlineLevel="0" max="7" min="7" style="0" width="96"/>
    <col collapsed="false" customWidth="true" hidden="false" outlineLevel="0" max="8" min="8" style="0" width="60"/>
    <col collapsed="false" customWidth="true" hidden="false" outlineLevel="0" max="9" min="9" style="0" width="34"/>
    <col collapsed="false" customWidth="true" hidden="false" outlineLevel="0" max="10" min="10" style="0" width="14"/>
    <col collapsed="false" customWidth="true" hidden="false" outlineLevel="0" max="11" min="11" style="0" width="12"/>
    <col collapsed="false" customWidth="true" hidden="false" outlineLevel="0" max="12" min="12" style="0" width="30"/>
  </cols>
  <sheetData>
    <row r="1" customFormat="false" ht="21.75" hidden="false" customHeight="true" outlineLevel="0" collapsed="false">
      <c r="A1" s="6" t="s">
        <v>3</v>
      </c>
      <c r="B1" s="6" t="s">
        <v>41</v>
      </c>
      <c r="C1" s="6" t="s">
        <v>42</v>
      </c>
      <c r="D1" s="6" t="s">
        <v>43</v>
      </c>
      <c r="E1" s="6" t="s">
        <v>12</v>
      </c>
      <c r="F1" s="6" t="s">
        <v>20</v>
      </c>
      <c r="G1" s="6" t="s">
        <v>44</v>
      </c>
      <c r="H1" s="6" t="s">
        <v>45</v>
      </c>
      <c r="I1" s="6" t="s">
        <v>46</v>
      </c>
      <c r="J1" s="6" t="s">
        <v>47</v>
      </c>
      <c r="K1" s="6" t="s">
        <v>48</v>
      </c>
      <c r="L1" s="6" t="s">
        <v>49</v>
      </c>
    </row>
    <row r="2" customFormat="false" ht="19.5" hidden="false" customHeight="true" outlineLevel="0" collapsed="false">
      <c r="A2" s="7" t="s">
        <v>50</v>
      </c>
      <c r="B2" s="7" t="s">
        <v>51</v>
      </c>
      <c r="C2" s="7" t="s">
        <v>52</v>
      </c>
      <c r="D2" s="8"/>
      <c r="E2" s="8"/>
      <c r="F2" s="8"/>
      <c r="G2" s="8"/>
      <c r="H2" s="8"/>
      <c r="I2" s="8"/>
      <c r="J2" s="8"/>
      <c r="K2" s="8"/>
      <c r="L2" s="8"/>
    </row>
    <row r="3" customFormat="false" ht="106.5" hidden="false" customHeight="true" outlineLevel="0" collapsed="false">
      <c r="A3" s="9" t="s">
        <v>53</v>
      </c>
      <c r="B3" s="10"/>
      <c r="C3" s="11" t="s">
        <v>52</v>
      </c>
      <c r="D3" s="12" t="s">
        <v>54</v>
      </c>
      <c r="E3" s="13" t="s">
        <v>7</v>
      </c>
      <c r="F3" s="14" t="s">
        <v>55</v>
      </c>
      <c r="G3" s="15" t="s">
        <v>56</v>
      </c>
      <c r="H3" s="15" t="s">
        <v>57</v>
      </c>
      <c r="I3" s="16" t="s">
        <v>58</v>
      </c>
      <c r="J3" s="17"/>
      <c r="K3" s="17"/>
      <c r="L3" s="18"/>
    </row>
    <row r="4" customFormat="false" ht="93.75" hidden="false" customHeight="true" outlineLevel="0" collapsed="false">
      <c r="A4" s="9" t="s">
        <v>59</v>
      </c>
      <c r="B4" s="10"/>
      <c r="C4" s="11" t="s">
        <v>52</v>
      </c>
      <c r="D4" s="12" t="s">
        <v>60</v>
      </c>
      <c r="E4" s="19" t="s">
        <v>17</v>
      </c>
      <c r="F4" s="14" t="s">
        <v>55</v>
      </c>
      <c r="G4" s="15" t="s">
        <v>61</v>
      </c>
      <c r="H4" s="15" t="s">
        <v>62</v>
      </c>
      <c r="I4" s="16" t="s">
        <v>63</v>
      </c>
      <c r="J4" s="17"/>
      <c r="K4" s="17"/>
      <c r="L4" s="18"/>
    </row>
    <row r="5" customFormat="false" ht="54.75" hidden="false" customHeight="true" outlineLevel="0" collapsed="false">
      <c r="A5" s="9" t="s">
        <v>64</v>
      </c>
      <c r="B5" s="10"/>
      <c r="C5" s="11" t="s">
        <v>52</v>
      </c>
      <c r="D5" s="12" t="s">
        <v>65</v>
      </c>
      <c r="E5" s="20" t="s">
        <v>15</v>
      </c>
      <c r="F5" s="14" t="s">
        <v>55</v>
      </c>
      <c r="G5" s="15" t="s">
        <v>66</v>
      </c>
      <c r="H5" s="15" t="s">
        <v>67</v>
      </c>
      <c r="I5" s="16" t="s">
        <v>68</v>
      </c>
      <c r="J5" s="17"/>
      <c r="K5" s="17"/>
      <c r="L5" s="18"/>
    </row>
    <row r="6" customFormat="false" ht="42" hidden="false" customHeight="true" outlineLevel="0" collapsed="false">
      <c r="A6" s="9" t="s">
        <v>69</v>
      </c>
      <c r="B6" s="10"/>
      <c r="C6" s="11" t="s">
        <v>52</v>
      </c>
      <c r="D6" s="12" t="s">
        <v>70</v>
      </c>
      <c r="E6" s="19" t="s">
        <v>17</v>
      </c>
      <c r="F6" s="14" t="s">
        <v>55</v>
      </c>
      <c r="G6" s="15" t="s">
        <v>71</v>
      </c>
      <c r="H6" s="15" t="s">
        <v>72</v>
      </c>
      <c r="I6" s="16" t="s">
        <v>73</v>
      </c>
      <c r="J6" s="17"/>
      <c r="K6" s="17"/>
      <c r="L6" s="18"/>
    </row>
    <row r="7" customFormat="false" ht="54.75" hidden="false" customHeight="true" outlineLevel="0" collapsed="false">
      <c r="A7" s="9" t="s">
        <v>74</v>
      </c>
      <c r="B7" s="10"/>
      <c r="C7" s="11" t="s">
        <v>52</v>
      </c>
      <c r="D7" s="12" t="s">
        <v>75</v>
      </c>
      <c r="E7" s="19" t="s">
        <v>17</v>
      </c>
      <c r="F7" s="14" t="s">
        <v>55</v>
      </c>
      <c r="G7" s="15" t="s">
        <v>76</v>
      </c>
      <c r="H7" s="15" t="s">
        <v>77</v>
      </c>
      <c r="I7" s="16" t="s">
        <v>78</v>
      </c>
      <c r="J7" s="17"/>
      <c r="K7" s="17"/>
      <c r="L7" s="18"/>
    </row>
    <row r="8" customFormat="false" ht="67.5" hidden="false" customHeight="true" outlineLevel="0" collapsed="false">
      <c r="A8" s="9" t="s">
        <v>79</v>
      </c>
      <c r="B8" s="10"/>
      <c r="C8" s="11" t="s">
        <v>52</v>
      </c>
      <c r="D8" s="12" t="s">
        <v>80</v>
      </c>
      <c r="E8" s="19" t="s">
        <v>17</v>
      </c>
      <c r="F8" s="14" t="s">
        <v>81</v>
      </c>
      <c r="G8" s="15" t="s">
        <v>82</v>
      </c>
      <c r="H8" s="15" t="s">
        <v>83</v>
      </c>
      <c r="I8" s="16" t="s">
        <v>84</v>
      </c>
      <c r="J8" s="17"/>
      <c r="K8" s="17"/>
      <c r="L8" s="18"/>
    </row>
    <row r="9" customFormat="false" ht="19.5" hidden="false" customHeight="true" outlineLevel="0" collapsed="false">
      <c r="A9" s="7" t="s">
        <v>85</v>
      </c>
      <c r="B9" s="7" t="s">
        <v>86</v>
      </c>
      <c r="C9" s="7" t="s">
        <v>87</v>
      </c>
      <c r="D9" s="8"/>
      <c r="E9" s="8"/>
      <c r="F9" s="8"/>
      <c r="G9" s="8"/>
      <c r="H9" s="8"/>
      <c r="I9" s="8"/>
      <c r="J9" s="8"/>
      <c r="K9" s="8"/>
      <c r="L9" s="8"/>
    </row>
    <row r="10" customFormat="false" ht="81" hidden="false" customHeight="true" outlineLevel="0" collapsed="false">
      <c r="A10" s="9" t="s">
        <v>88</v>
      </c>
      <c r="B10" s="10"/>
      <c r="C10" s="11" t="s">
        <v>87</v>
      </c>
      <c r="D10" s="12" t="s">
        <v>89</v>
      </c>
      <c r="E10" s="19" t="s">
        <v>17</v>
      </c>
      <c r="F10" s="14" t="s">
        <v>81</v>
      </c>
      <c r="G10" s="15" t="s">
        <v>90</v>
      </c>
      <c r="H10" s="15" t="s">
        <v>91</v>
      </c>
      <c r="I10" s="16" t="s">
        <v>92</v>
      </c>
      <c r="J10" s="17"/>
      <c r="K10" s="17"/>
      <c r="L10" s="18"/>
    </row>
    <row r="11" customFormat="false" ht="81" hidden="false" customHeight="true" outlineLevel="0" collapsed="false">
      <c r="A11" s="9" t="s">
        <v>93</v>
      </c>
      <c r="B11" s="10"/>
      <c r="C11" s="11" t="s">
        <v>87</v>
      </c>
      <c r="D11" s="12" t="s">
        <v>94</v>
      </c>
      <c r="E11" s="19" t="s">
        <v>17</v>
      </c>
      <c r="F11" s="14" t="s">
        <v>55</v>
      </c>
      <c r="G11" s="15" t="s">
        <v>95</v>
      </c>
      <c r="H11" s="15" t="s">
        <v>96</v>
      </c>
      <c r="I11" s="16" t="s">
        <v>97</v>
      </c>
      <c r="J11" s="17"/>
      <c r="K11" s="17"/>
      <c r="L11" s="18"/>
    </row>
    <row r="12" customFormat="false" ht="67.5" hidden="false" customHeight="true" outlineLevel="0" collapsed="false">
      <c r="A12" s="9" t="s">
        <v>98</v>
      </c>
      <c r="B12" s="10"/>
      <c r="C12" s="11" t="s">
        <v>87</v>
      </c>
      <c r="D12" s="12" t="s">
        <v>99</v>
      </c>
      <c r="E12" s="13" t="s">
        <v>7</v>
      </c>
      <c r="F12" s="14" t="s">
        <v>55</v>
      </c>
      <c r="G12" s="15" t="s">
        <v>100</v>
      </c>
      <c r="H12" s="15" t="s">
        <v>101</v>
      </c>
      <c r="I12" s="16" t="s">
        <v>102</v>
      </c>
      <c r="J12" s="17"/>
      <c r="K12" s="17"/>
      <c r="L12" s="18"/>
    </row>
    <row r="13" customFormat="false" ht="67.5" hidden="false" customHeight="true" outlineLevel="0" collapsed="false">
      <c r="A13" s="9" t="s">
        <v>103</v>
      </c>
      <c r="B13" s="10"/>
      <c r="C13" s="11" t="s">
        <v>87</v>
      </c>
      <c r="D13" s="12" t="s">
        <v>104</v>
      </c>
      <c r="E13" s="13" t="s">
        <v>7</v>
      </c>
      <c r="F13" s="14" t="s">
        <v>81</v>
      </c>
      <c r="G13" s="15" t="s">
        <v>105</v>
      </c>
      <c r="H13" s="15" t="s">
        <v>106</v>
      </c>
      <c r="I13" s="16" t="s">
        <v>107</v>
      </c>
      <c r="J13" s="17"/>
      <c r="K13" s="17"/>
      <c r="L13" s="18"/>
    </row>
    <row r="14" customFormat="false" ht="54.75" hidden="false" customHeight="true" outlineLevel="0" collapsed="false">
      <c r="A14" s="9" t="s">
        <v>108</v>
      </c>
      <c r="B14" s="10"/>
      <c r="C14" s="11" t="s">
        <v>87</v>
      </c>
      <c r="D14" s="12" t="s">
        <v>109</v>
      </c>
      <c r="E14" s="19" t="s">
        <v>17</v>
      </c>
      <c r="F14" s="14" t="s">
        <v>55</v>
      </c>
      <c r="G14" s="15" t="s">
        <v>110</v>
      </c>
      <c r="H14" s="15" t="s">
        <v>111</v>
      </c>
      <c r="I14" s="16" t="s">
        <v>112</v>
      </c>
      <c r="J14" s="17"/>
      <c r="K14" s="17"/>
      <c r="L14" s="18"/>
    </row>
    <row r="15" customFormat="false" ht="42" hidden="false" customHeight="true" outlineLevel="0" collapsed="false">
      <c r="A15" s="9" t="s">
        <v>113</v>
      </c>
      <c r="B15" s="10"/>
      <c r="C15" s="11" t="s">
        <v>87</v>
      </c>
      <c r="D15" s="12" t="s">
        <v>114</v>
      </c>
      <c r="E15" s="19" t="s">
        <v>17</v>
      </c>
      <c r="F15" s="14" t="s">
        <v>55</v>
      </c>
      <c r="G15" s="15" t="s">
        <v>115</v>
      </c>
      <c r="H15" s="15" t="s">
        <v>116</v>
      </c>
      <c r="I15" s="16" t="s">
        <v>117</v>
      </c>
      <c r="J15" s="17"/>
      <c r="K15" s="17"/>
      <c r="L15" s="18"/>
    </row>
    <row r="16" customFormat="false" ht="19.5" hidden="false" customHeight="true" outlineLevel="0" collapsed="false">
      <c r="A16" s="7" t="s">
        <v>118</v>
      </c>
      <c r="B16" s="7" t="s">
        <v>119</v>
      </c>
      <c r="C16" s="7" t="s">
        <v>87</v>
      </c>
      <c r="D16" s="8"/>
      <c r="E16" s="8"/>
      <c r="F16" s="8"/>
      <c r="G16" s="8"/>
      <c r="H16" s="8"/>
      <c r="I16" s="8"/>
      <c r="J16" s="8"/>
      <c r="K16" s="8"/>
      <c r="L16" s="8"/>
    </row>
    <row r="17" customFormat="false" ht="54.75" hidden="false" customHeight="true" outlineLevel="0" collapsed="false">
      <c r="A17" s="9" t="s">
        <v>120</v>
      </c>
      <c r="B17" s="10"/>
      <c r="C17" s="11" t="s">
        <v>87</v>
      </c>
      <c r="D17" s="12" t="s">
        <v>121</v>
      </c>
      <c r="E17" s="19" t="s">
        <v>17</v>
      </c>
      <c r="F17" s="14" t="s">
        <v>81</v>
      </c>
      <c r="G17" s="15" t="s">
        <v>122</v>
      </c>
      <c r="H17" s="15" t="s">
        <v>123</v>
      </c>
      <c r="I17" s="16" t="s">
        <v>124</v>
      </c>
      <c r="J17" s="17"/>
      <c r="K17" s="17"/>
      <c r="L17" s="18"/>
    </row>
    <row r="18" customFormat="false" ht="42" hidden="false" customHeight="true" outlineLevel="0" collapsed="false">
      <c r="A18" s="9" t="s">
        <v>125</v>
      </c>
      <c r="B18" s="10"/>
      <c r="C18" s="11" t="s">
        <v>87</v>
      </c>
      <c r="D18" s="12" t="s">
        <v>126</v>
      </c>
      <c r="E18" s="19" t="s">
        <v>17</v>
      </c>
      <c r="F18" s="14" t="s">
        <v>55</v>
      </c>
      <c r="G18" s="15" t="s">
        <v>127</v>
      </c>
      <c r="H18" s="15" t="s">
        <v>128</v>
      </c>
      <c r="I18" s="16" t="s">
        <v>129</v>
      </c>
      <c r="J18" s="17"/>
      <c r="K18" s="17"/>
      <c r="L18" s="18"/>
    </row>
    <row r="19" customFormat="false" ht="54.75" hidden="false" customHeight="true" outlineLevel="0" collapsed="false">
      <c r="A19" s="9" t="s">
        <v>130</v>
      </c>
      <c r="B19" s="10"/>
      <c r="C19" s="11" t="s">
        <v>87</v>
      </c>
      <c r="D19" s="12" t="s">
        <v>131</v>
      </c>
      <c r="E19" s="19" t="s">
        <v>17</v>
      </c>
      <c r="F19" s="14" t="s">
        <v>55</v>
      </c>
      <c r="G19" s="15" t="s">
        <v>132</v>
      </c>
      <c r="H19" s="15" t="s">
        <v>133</v>
      </c>
      <c r="I19" s="16" t="s">
        <v>134</v>
      </c>
      <c r="J19" s="17"/>
      <c r="K19" s="17"/>
      <c r="L19" s="18"/>
    </row>
    <row r="20" customFormat="false" ht="42" hidden="false" customHeight="true" outlineLevel="0" collapsed="false">
      <c r="A20" s="9" t="s">
        <v>135</v>
      </c>
      <c r="B20" s="10"/>
      <c r="C20" s="11" t="s">
        <v>87</v>
      </c>
      <c r="D20" s="12" t="s">
        <v>136</v>
      </c>
      <c r="E20" s="19" t="s">
        <v>17</v>
      </c>
      <c r="F20" s="14" t="s">
        <v>55</v>
      </c>
      <c r="G20" s="15" t="s">
        <v>137</v>
      </c>
      <c r="H20" s="15" t="s">
        <v>138</v>
      </c>
      <c r="I20" s="16" t="s">
        <v>139</v>
      </c>
      <c r="J20" s="17"/>
      <c r="K20" s="17"/>
      <c r="L20" s="18"/>
    </row>
    <row r="21" customFormat="false" ht="67.5" hidden="false" customHeight="true" outlineLevel="0" collapsed="false">
      <c r="A21" s="9" t="s">
        <v>140</v>
      </c>
      <c r="B21" s="10"/>
      <c r="C21" s="11" t="s">
        <v>87</v>
      </c>
      <c r="D21" s="12" t="s">
        <v>141</v>
      </c>
      <c r="E21" s="19" t="s">
        <v>17</v>
      </c>
      <c r="F21" s="14" t="s">
        <v>81</v>
      </c>
      <c r="G21" s="15" t="s">
        <v>142</v>
      </c>
      <c r="H21" s="15" t="s">
        <v>143</v>
      </c>
      <c r="I21" s="16" t="s">
        <v>144</v>
      </c>
      <c r="J21" s="17"/>
      <c r="K21" s="17"/>
      <c r="L21" s="18"/>
    </row>
    <row r="22" customFormat="false" ht="42" hidden="false" customHeight="true" outlineLevel="0" collapsed="false">
      <c r="A22" s="9" t="s">
        <v>145</v>
      </c>
      <c r="B22" s="10"/>
      <c r="C22" s="11" t="s">
        <v>87</v>
      </c>
      <c r="D22" s="12" t="s">
        <v>146</v>
      </c>
      <c r="E22" s="19" t="s">
        <v>17</v>
      </c>
      <c r="F22" s="14" t="s">
        <v>81</v>
      </c>
      <c r="G22" s="15" t="s">
        <v>147</v>
      </c>
      <c r="H22" s="15" t="s">
        <v>148</v>
      </c>
      <c r="I22" s="16" t="s">
        <v>149</v>
      </c>
      <c r="J22" s="17"/>
      <c r="K22" s="17"/>
      <c r="L22" s="18"/>
    </row>
    <row r="23" customFormat="false" ht="54.75" hidden="false" customHeight="true" outlineLevel="0" collapsed="false">
      <c r="A23" s="9" t="s">
        <v>150</v>
      </c>
      <c r="B23" s="10"/>
      <c r="C23" s="11" t="s">
        <v>87</v>
      </c>
      <c r="D23" s="12" t="s">
        <v>151</v>
      </c>
      <c r="E23" s="19" t="s">
        <v>17</v>
      </c>
      <c r="F23" s="14" t="s">
        <v>81</v>
      </c>
      <c r="G23" s="15" t="s">
        <v>152</v>
      </c>
      <c r="H23" s="15" t="s">
        <v>153</v>
      </c>
      <c r="I23" s="16" t="s">
        <v>154</v>
      </c>
      <c r="J23" s="17"/>
      <c r="K23" s="17"/>
      <c r="L23" s="18"/>
    </row>
    <row r="24" customFormat="false" ht="19.5" hidden="false" customHeight="true" outlineLevel="0" collapsed="false">
      <c r="A24" s="7" t="s">
        <v>155</v>
      </c>
      <c r="B24" s="7" t="s">
        <v>156</v>
      </c>
      <c r="C24" s="7" t="s">
        <v>87</v>
      </c>
      <c r="D24" s="8"/>
      <c r="E24" s="8"/>
      <c r="F24" s="8"/>
      <c r="G24" s="8"/>
      <c r="H24" s="8"/>
      <c r="I24" s="8"/>
      <c r="J24" s="8"/>
      <c r="K24" s="8"/>
      <c r="L24" s="8"/>
    </row>
    <row r="25" customFormat="false" ht="54.75" hidden="false" customHeight="true" outlineLevel="0" collapsed="false">
      <c r="A25" s="9" t="s">
        <v>157</v>
      </c>
      <c r="B25" s="10"/>
      <c r="C25" s="11" t="s">
        <v>87</v>
      </c>
      <c r="D25" s="12" t="s">
        <v>158</v>
      </c>
      <c r="E25" s="19" t="s">
        <v>17</v>
      </c>
      <c r="F25" s="14" t="s">
        <v>159</v>
      </c>
      <c r="G25" s="15" t="s">
        <v>160</v>
      </c>
      <c r="H25" s="15" t="s">
        <v>161</v>
      </c>
      <c r="I25" s="16" t="s">
        <v>162</v>
      </c>
      <c r="J25" s="17"/>
      <c r="K25" s="17"/>
      <c r="L25" s="18"/>
    </row>
    <row r="26" customFormat="false" ht="54.75" hidden="false" customHeight="true" outlineLevel="0" collapsed="false">
      <c r="A26" s="9" t="s">
        <v>163</v>
      </c>
      <c r="B26" s="10"/>
      <c r="C26" s="11" t="s">
        <v>87</v>
      </c>
      <c r="D26" s="12" t="s">
        <v>164</v>
      </c>
      <c r="E26" s="19" t="s">
        <v>17</v>
      </c>
      <c r="F26" s="14" t="s">
        <v>55</v>
      </c>
      <c r="G26" s="15" t="s">
        <v>165</v>
      </c>
      <c r="H26" s="15" t="s">
        <v>166</v>
      </c>
      <c r="I26" s="16" t="s">
        <v>167</v>
      </c>
      <c r="J26" s="17"/>
      <c r="K26" s="17"/>
      <c r="L26" s="18"/>
    </row>
    <row r="27" customFormat="false" ht="54.75" hidden="false" customHeight="true" outlineLevel="0" collapsed="false">
      <c r="A27" s="9" t="s">
        <v>168</v>
      </c>
      <c r="B27" s="10"/>
      <c r="C27" s="11" t="s">
        <v>87</v>
      </c>
      <c r="D27" s="12" t="s">
        <v>169</v>
      </c>
      <c r="E27" s="13" t="s">
        <v>7</v>
      </c>
      <c r="F27" s="14" t="s">
        <v>55</v>
      </c>
      <c r="G27" s="15" t="s">
        <v>170</v>
      </c>
      <c r="H27" s="15" t="s">
        <v>171</v>
      </c>
      <c r="I27" s="16" t="s">
        <v>172</v>
      </c>
      <c r="J27" s="17"/>
      <c r="K27" s="17"/>
      <c r="L27" s="18"/>
    </row>
    <row r="28" customFormat="false" ht="54.75" hidden="false" customHeight="true" outlineLevel="0" collapsed="false">
      <c r="A28" s="9" t="s">
        <v>173</v>
      </c>
      <c r="B28" s="10"/>
      <c r="C28" s="11" t="s">
        <v>87</v>
      </c>
      <c r="D28" s="12" t="s">
        <v>174</v>
      </c>
      <c r="E28" s="19" t="s">
        <v>17</v>
      </c>
      <c r="F28" s="14" t="s">
        <v>81</v>
      </c>
      <c r="G28" s="15" t="s">
        <v>175</v>
      </c>
      <c r="H28" s="15" t="s">
        <v>176</v>
      </c>
      <c r="I28" s="16" t="s">
        <v>177</v>
      </c>
      <c r="J28" s="17"/>
      <c r="K28" s="17"/>
      <c r="L28" s="18"/>
    </row>
    <row r="29" customFormat="false" ht="42" hidden="false" customHeight="true" outlineLevel="0" collapsed="false">
      <c r="A29" s="9" t="s">
        <v>178</v>
      </c>
      <c r="B29" s="10"/>
      <c r="C29" s="11" t="s">
        <v>87</v>
      </c>
      <c r="D29" s="12" t="s">
        <v>179</v>
      </c>
      <c r="E29" s="19" t="s">
        <v>17</v>
      </c>
      <c r="F29" s="14" t="s">
        <v>81</v>
      </c>
      <c r="G29" s="15" t="s">
        <v>180</v>
      </c>
      <c r="H29" s="15" t="s">
        <v>181</v>
      </c>
      <c r="I29" s="16" t="s">
        <v>182</v>
      </c>
      <c r="J29" s="17"/>
      <c r="K29" s="17"/>
      <c r="L29" s="18"/>
    </row>
    <row r="30" customFormat="false" ht="42" hidden="false" customHeight="true" outlineLevel="0" collapsed="false">
      <c r="A30" s="9" t="s">
        <v>183</v>
      </c>
      <c r="B30" s="10"/>
      <c r="C30" s="11" t="s">
        <v>87</v>
      </c>
      <c r="D30" s="12" t="s">
        <v>184</v>
      </c>
      <c r="E30" s="19" t="s">
        <v>17</v>
      </c>
      <c r="F30" s="14" t="s">
        <v>81</v>
      </c>
      <c r="G30" s="15" t="s">
        <v>185</v>
      </c>
      <c r="H30" s="15" t="s">
        <v>186</v>
      </c>
      <c r="I30" s="16" t="s">
        <v>187</v>
      </c>
      <c r="J30" s="17"/>
      <c r="K30" s="17"/>
      <c r="L30" s="18"/>
    </row>
    <row r="31" customFormat="false" ht="19.5" hidden="false" customHeight="true" outlineLevel="0" collapsed="false">
      <c r="A31" s="7" t="s">
        <v>188</v>
      </c>
      <c r="B31" s="7" t="s">
        <v>189</v>
      </c>
      <c r="C31" s="7" t="s">
        <v>190</v>
      </c>
      <c r="D31" s="8"/>
      <c r="E31" s="8"/>
      <c r="F31" s="8"/>
      <c r="G31" s="8"/>
      <c r="H31" s="8"/>
      <c r="I31" s="8"/>
      <c r="J31" s="8"/>
      <c r="K31" s="8"/>
      <c r="L31" s="8"/>
    </row>
    <row r="32" customFormat="false" ht="42" hidden="false" customHeight="true" outlineLevel="0" collapsed="false">
      <c r="A32" s="9" t="s">
        <v>191</v>
      </c>
      <c r="B32" s="10"/>
      <c r="C32" s="11" t="s">
        <v>190</v>
      </c>
      <c r="D32" s="12" t="s">
        <v>192</v>
      </c>
      <c r="E32" s="21" t="s">
        <v>13</v>
      </c>
      <c r="F32" s="14"/>
      <c r="G32" s="15" t="s">
        <v>193</v>
      </c>
      <c r="H32" s="15" t="s">
        <v>194</v>
      </c>
      <c r="I32" s="16"/>
      <c r="J32" s="17"/>
      <c r="K32" s="17"/>
      <c r="L32" s="18"/>
    </row>
    <row r="33" customFormat="false" ht="54.75" hidden="false" customHeight="true" outlineLevel="0" collapsed="false">
      <c r="A33" s="9" t="s">
        <v>195</v>
      </c>
      <c r="B33" s="10"/>
      <c r="C33" s="11" t="s">
        <v>190</v>
      </c>
      <c r="D33" s="12" t="s">
        <v>196</v>
      </c>
      <c r="E33" s="19" t="s">
        <v>17</v>
      </c>
      <c r="F33" s="14" t="s">
        <v>81</v>
      </c>
      <c r="G33" s="15" t="s">
        <v>197</v>
      </c>
      <c r="H33" s="15" t="s">
        <v>198</v>
      </c>
      <c r="I33" s="16" t="s">
        <v>199</v>
      </c>
      <c r="J33" s="17"/>
      <c r="K33" s="17"/>
      <c r="L33" s="18"/>
    </row>
    <row r="34" customFormat="false" ht="81" hidden="false" customHeight="true" outlineLevel="0" collapsed="false">
      <c r="A34" s="9" t="s">
        <v>200</v>
      </c>
      <c r="B34" s="10"/>
      <c r="C34" s="11" t="s">
        <v>190</v>
      </c>
      <c r="D34" s="12" t="s">
        <v>201</v>
      </c>
      <c r="E34" s="20" t="s">
        <v>15</v>
      </c>
      <c r="F34" s="14" t="s">
        <v>81</v>
      </c>
      <c r="G34" s="15" t="s">
        <v>202</v>
      </c>
      <c r="H34" s="15" t="s">
        <v>203</v>
      </c>
      <c r="I34" s="16" t="s">
        <v>204</v>
      </c>
      <c r="J34" s="17"/>
      <c r="K34" s="17"/>
      <c r="L34" s="18"/>
    </row>
    <row r="35" customFormat="false" ht="42" hidden="false" customHeight="true" outlineLevel="0" collapsed="false">
      <c r="A35" s="9" t="s">
        <v>205</v>
      </c>
      <c r="B35" s="10"/>
      <c r="C35" s="11" t="s">
        <v>190</v>
      </c>
      <c r="D35" s="12" t="s">
        <v>206</v>
      </c>
      <c r="E35" s="19" t="s">
        <v>17</v>
      </c>
      <c r="F35" s="14" t="s">
        <v>81</v>
      </c>
      <c r="G35" s="15" t="s">
        <v>207</v>
      </c>
      <c r="H35" s="15" t="s">
        <v>208</v>
      </c>
      <c r="I35" s="16" t="s">
        <v>209</v>
      </c>
      <c r="J35" s="17"/>
      <c r="K35" s="17"/>
      <c r="L35" s="18"/>
    </row>
    <row r="36" customFormat="false" ht="67.5" hidden="false" customHeight="true" outlineLevel="0" collapsed="false">
      <c r="A36" s="9" t="s">
        <v>210</v>
      </c>
      <c r="B36" s="10"/>
      <c r="C36" s="11" t="s">
        <v>190</v>
      </c>
      <c r="D36" s="12" t="s">
        <v>211</v>
      </c>
      <c r="E36" s="13" t="s">
        <v>7</v>
      </c>
      <c r="F36" s="14" t="s">
        <v>81</v>
      </c>
      <c r="G36" s="15" t="s">
        <v>212</v>
      </c>
      <c r="H36" s="15" t="s">
        <v>213</v>
      </c>
      <c r="I36" s="16" t="s">
        <v>214</v>
      </c>
      <c r="J36" s="17"/>
      <c r="K36" s="17"/>
      <c r="L36" s="18"/>
    </row>
    <row r="37" customFormat="false" ht="42" hidden="false" customHeight="true" outlineLevel="0" collapsed="false">
      <c r="A37" s="9" t="s">
        <v>215</v>
      </c>
      <c r="B37" s="10"/>
      <c r="C37" s="11" t="s">
        <v>190</v>
      </c>
      <c r="D37" s="12" t="s">
        <v>216</v>
      </c>
      <c r="E37" s="19" t="s">
        <v>17</v>
      </c>
      <c r="F37" s="14" t="s">
        <v>81</v>
      </c>
      <c r="G37" s="15" t="s">
        <v>217</v>
      </c>
      <c r="H37" s="15" t="s">
        <v>218</v>
      </c>
      <c r="I37" s="16" t="s">
        <v>219</v>
      </c>
      <c r="J37" s="17"/>
      <c r="K37" s="17"/>
      <c r="L37" s="18"/>
    </row>
    <row r="38" customFormat="false" ht="54.75" hidden="false" customHeight="true" outlineLevel="0" collapsed="false">
      <c r="A38" s="9" t="s">
        <v>220</v>
      </c>
      <c r="B38" s="10"/>
      <c r="C38" s="11" t="s">
        <v>190</v>
      </c>
      <c r="D38" s="12" t="s">
        <v>221</v>
      </c>
      <c r="E38" s="19" t="s">
        <v>17</v>
      </c>
      <c r="F38" s="14" t="s">
        <v>55</v>
      </c>
      <c r="G38" s="15" t="s">
        <v>222</v>
      </c>
      <c r="H38" s="15" t="s">
        <v>223</v>
      </c>
      <c r="I38" s="16" t="s">
        <v>224</v>
      </c>
      <c r="J38" s="17"/>
      <c r="K38" s="17"/>
      <c r="L38" s="18"/>
    </row>
    <row r="39" customFormat="false" ht="19.5" hidden="false" customHeight="true" outlineLevel="0" collapsed="false">
      <c r="A39" s="7" t="s">
        <v>225</v>
      </c>
      <c r="B39" s="7" t="s">
        <v>226</v>
      </c>
      <c r="C39" s="7" t="s">
        <v>190</v>
      </c>
      <c r="D39" s="8"/>
      <c r="E39" s="8"/>
      <c r="F39" s="8"/>
      <c r="G39" s="8"/>
      <c r="H39" s="8"/>
      <c r="I39" s="8"/>
      <c r="J39" s="8"/>
      <c r="K39" s="8"/>
      <c r="L39" s="8"/>
    </row>
    <row r="40" customFormat="false" ht="42" hidden="false" customHeight="true" outlineLevel="0" collapsed="false">
      <c r="A40" s="9" t="s">
        <v>227</v>
      </c>
      <c r="B40" s="10"/>
      <c r="C40" s="11" t="s">
        <v>190</v>
      </c>
      <c r="D40" s="12" t="s">
        <v>228</v>
      </c>
      <c r="E40" s="19" t="s">
        <v>17</v>
      </c>
      <c r="F40" s="14" t="s">
        <v>55</v>
      </c>
      <c r="G40" s="15" t="s">
        <v>229</v>
      </c>
      <c r="H40" s="15" t="s">
        <v>230</v>
      </c>
      <c r="I40" s="16" t="s">
        <v>231</v>
      </c>
      <c r="J40" s="17"/>
      <c r="K40" s="17"/>
      <c r="L40" s="18"/>
    </row>
    <row r="41" customFormat="false" ht="54.75" hidden="false" customHeight="true" outlineLevel="0" collapsed="false">
      <c r="A41" s="9" t="s">
        <v>232</v>
      </c>
      <c r="B41" s="10"/>
      <c r="C41" s="11" t="s">
        <v>190</v>
      </c>
      <c r="D41" s="12" t="s">
        <v>233</v>
      </c>
      <c r="E41" s="19" t="s">
        <v>17</v>
      </c>
      <c r="F41" s="14" t="s">
        <v>159</v>
      </c>
      <c r="G41" s="15" t="s">
        <v>234</v>
      </c>
      <c r="H41" s="15" t="s">
        <v>235</v>
      </c>
      <c r="I41" s="16" t="s">
        <v>236</v>
      </c>
      <c r="J41" s="17"/>
      <c r="K41" s="17"/>
      <c r="L41" s="18"/>
    </row>
    <row r="42" customFormat="false" ht="54.75" hidden="false" customHeight="true" outlineLevel="0" collapsed="false">
      <c r="A42" s="9" t="s">
        <v>237</v>
      </c>
      <c r="B42" s="10"/>
      <c r="C42" s="11" t="s">
        <v>190</v>
      </c>
      <c r="D42" s="12" t="s">
        <v>238</v>
      </c>
      <c r="E42" s="19" t="s">
        <v>17</v>
      </c>
      <c r="F42" s="14" t="s">
        <v>81</v>
      </c>
      <c r="G42" s="15" t="s">
        <v>239</v>
      </c>
      <c r="H42" s="15" t="s">
        <v>240</v>
      </c>
      <c r="I42" s="16" t="s">
        <v>241</v>
      </c>
      <c r="J42" s="17"/>
      <c r="K42" s="17"/>
      <c r="L42" s="18"/>
    </row>
    <row r="43" customFormat="false" ht="42" hidden="false" customHeight="true" outlineLevel="0" collapsed="false">
      <c r="A43" s="9" t="s">
        <v>242</v>
      </c>
      <c r="B43" s="10"/>
      <c r="C43" s="11" t="s">
        <v>190</v>
      </c>
      <c r="D43" s="12" t="s">
        <v>243</v>
      </c>
      <c r="E43" s="13" t="s">
        <v>7</v>
      </c>
      <c r="F43" s="14" t="s">
        <v>55</v>
      </c>
      <c r="G43" s="15" t="s">
        <v>244</v>
      </c>
      <c r="H43" s="15" t="s">
        <v>245</v>
      </c>
      <c r="I43" s="16" t="s">
        <v>246</v>
      </c>
      <c r="J43" s="17"/>
      <c r="K43" s="17"/>
      <c r="L43" s="18"/>
    </row>
    <row r="44" customFormat="false" ht="81" hidden="false" customHeight="true" outlineLevel="0" collapsed="false">
      <c r="A44" s="9" t="s">
        <v>247</v>
      </c>
      <c r="B44" s="10"/>
      <c r="C44" s="11" t="s">
        <v>190</v>
      </c>
      <c r="D44" s="12" t="s">
        <v>248</v>
      </c>
      <c r="E44" s="13" t="s">
        <v>7</v>
      </c>
      <c r="F44" s="14" t="s">
        <v>159</v>
      </c>
      <c r="G44" s="15" t="s">
        <v>249</v>
      </c>
      <c r="H44" s="15" t="s">
        <v>250</v>
      </c>
      <c r="I44" s="16" t="s">
        <v>251</v>
      </c>
      <c r="J44" s="17"/>
      <c r="K44" s="17"/>
      <c r="L44" s="18"/>
    </row>
    <row r="45" customFormat="false" ht="54.75" hidden="false" customHeight="true" outlineLevel="0" collapsed="false">
      <c r="A45" s="9" t="s">
        <v>252</v>
      </c>
      <c r="B45" s="10"/>
      <c r="C45" s="11" t="s">
        <v>190</v>
      </c>
      <c r="D45" s="12" t="s">
        <v>253</v>
      </c>
      <c r="E45" s="19" t="s">
        <v>17</v>
      </c>
      <c r="F45" s="14" t="s">
        <v>81</v>
      </c>
      <c r="G45" s="15" t="s">
        <v>254</v>
      </c>
      <c r="H45" s="15" t="s">
        <v>255</v>
      </c>
      <c r="I45" s="16" t="s">
        <v>256</v>
      </c>
      <c r="J45" s="17"/>
      <c r="K45" s="17"/>
      <c r="L45" s="18"/>
    </row>
    <row r="46" customFormat="false" ht="19.5" hidden="false" customHeight="true" outlineLevel="0" collapsed="false">
      <c r="A46" s="7" t="s">
        <v>257</v>
      </c>
      <c r="B46" s="7" t="s">
        <v>258</v>
      </c>
      <c r="C46" s="7" t="s">
        <v>259</v>
      </c>
      <c r="D46" s="8"/>
      <c r="E46" s="8"/>
      <c r="F46" s="8"/>
      <c r="G46" s="8"/>
      <c r="H46" s="8"/>
      <c r="I46" s="8"/>
      <c r="J46" s="8"/>
      <c r="K46" s="8"/>
      <c r="L46" s="8"/>
    </row>
    <row r="47" customFormat="false" ht="54.75" hidden="false" customHeight="true" outlineLevel="0" collapsed="false">
      <c r="A47" s="9" t="s">
        <v>260</v>
      </c>
      <c r="B47" s="10"/>
      <c r="C47" s="11" t="s">
        <v>259</v>
      </c>
      <c r="D47" s="12" t="s">
        <v>261</v>
      </c>
      <c r="E47" s="20" t="s">
        <v>15</v>
      </c>
      <c r="F47" s="14" t="s">
        <v>81</v>
      </c>
      <c r="G47" s="15" t="s">
        <v>262</v>
      </c>
      <c r="H47" s="15" t="s">
        <v>263</v>
      </c>
      <c r="I47" s="16" t="s">
        <v>264</v>
      </c>
      <c r="J47" s="17"/>
      <c r="K47" s="17"/>
      <c r="L47" s="18"/>
    </row>
    <row r="48" customFormat="false" ht="54.75" hidden="false" customHeight="true" outlineLevel="0" collapsed="false">
      <c r="A48" s="9" t="s">
        <v>265</v>
      </c>
      <c r="B48" s="10"/>
      <c r="C48" s="11" t="s">
        <v>259</v>
      </c>
      <c r="D48" s="12" t="s">
        <v>266</v>
      </c>
      <c r="E48" s="20" t="s">
        <v>15</v>
      </c>
      <c r="F48" s="14" t="s">
        <v>81</v>
      </c>
      <c r="G48" s="15" t="s">
        <v>267</v>
      </c>
      <c r="H48" s="15" t="s">
        <v>268</v>
      </c>
      <c r="I48" s="16" t="s">
        <v>231</v>
      </c>
      <c r="J48" s="17"/>
      <c r="K48" s="17"/>
      <c r="L48" s="18"/>
    </row>
    <row r="49" customFormat="false" ht="54.75" hidden="false" customHeight="true" outlineLevel="0" collapsed="false">
      <c r="A49" s="9" t="s">
        <v>269</v>
      </c>
      <c r="B49" s="10"/>
      <c r="C49" s="11" t="s">
        <v>259</v>
      </c>
      <c r="D49" s="12" t="s">
        <v>270</v>
      </c>
      <c r="E49" s="20" t="s">
        <v>15</v>
      </c>
      <c r="F49" s="14" t="s">
        <v>55</v>
      </c>
      <c r="G49" s="15" t="s">
        <v>271</v>
      </c>
      <c r="H49" s="15" t="s">
        <v>272</v>
      </c>
      <c r="I49" s="16" t="s">
        <v>273</v>
      </c>
      <c r="J49" s="17"/>
      <c r="K49" s="17"/>
      <c r="L49" s="18"/>
    </row>
    <row r="50" customFormat="false" ht="54.75" hidden="false" customHeight="true" outlineLevel="0" collapsed="false">
      <c r="A50" s="9" t="s">
        <v>274</v>
      </c>
      <c r="B50" s="10"/>
      <c r="C50" s="11" t="s">
        <v>259</v>
      </c>
      <c r="D50" s="12" t="s">
        <v>275</v>
      </c>
      <c r="E50" s="20" t="s">
        <v>15</v>
      </c>
      <c r="F50" s="14" t="s">
        <v>55</v>
      </c>
      <c r="G50" s="15" t="s">
        <v>276</v>
      </c>
      <c r="H50" s="15" t="s">
        <v>277</v>
      </c>
      <c r="I50" s="16" t="s">
        <v>278</v>
      </c>
      <c r="J50" s="17"/>
      <c r="K50" s="17"/>
      <c r="L50" s="18"/>
    </row>
    <row r="51" customFormat="false" ht="81" hidden="false" customHeight="true" outlineLevel="0" collapsed="false">
      <c r="A51" s="9" t="s">
        <v>279</v>
      </c>
      <c r="B51" s="10"/>
      <c r="C51" s="11" t="s">
        <v>259</v>
      </c>
      <c r="D51" s="12" t="s">
        <v>280</v>
      </c>
      <c r="E51" s="19" t="s">
        <v>17</v>
      </c>
      <c r="F51" s="14" t="s">
        <v>159</v>
      </c>
      <c r="G51" s="15" t="s">
        <v>281</v>
      </c>
      <c r="H51" s="15" t="s">
        <v>282</v>
      </c>
      <c r="I51" s="16" t="s">
        <v>283</v>
      </c>
      <c r="J51" s="17"/>
      <c r="K51" s="17"/>
      <c r="L51" s="18"/>
    </row>
    <row r="52" customFormat="false" ht="54.75" hidden="false" customHeight="true" outlineLevel="0" collapsed="false">
      <c r="A52" s="9" t="s">
        <v>284</v>
      </c>
      <c r="B52" s="10"/>
      <c r="C52" s="11" t="s">
        <v>259</v>
      </c>
      <c r="D52" s="12" t="s">
        <v>285</v>
      </c>
      <c r="E52" s="21" t="s">
        <v>13</v>
      </c>
      <c r="F52" s="14"/>
      <c r="G52" s="15" t="s">
        <v>286</v>
      </c>
      <c r="H52" s="15" t="s">
        <v>287</v>
      </c>
      <c r="I52" s="16"/>
      <c r="J52" s="17"/>
      <c r="K52" s="17"/>
      <c r="L52" s="18"/>
    </row>
    <row r="53" customFormat="false" ht="42" hidden="false" customHeight="true" outlineLevel="0" collapsed="false">
      <c r="A53" s="9" t="s">
        <v>288</v>
      </c>
      <c r="B53" s="10"/>
      <c r="C53" s="11" t="s">
        <v>259</v>
      </c>
      <c r="D53" s="12" t="s">
        <v>289</v>
      </c>
      <c r="E53" s="20" t="s">
        <v>15</v>
      </c>
      <c r="F53" s="14" t="s">
        <v>55</v>
      </c>
      <c r="G53" s="15" t="s">
        <v>290</v>
      </c>
      <c r="H53" s="15" t="s">
        <v>291</v>
      </c>
      <c r="I53" s="16" t="s">
        <v>292</v>
      </c>
      <c r="J53" s="17"/>
      <c r="K53" s="17"/>
      <c r="L53" s="18"/>
    </row>
    <row r="54" customFormat="false" ht="42" hidden="false" customHeight="true" outlineLevel="0" collapsed="false">
      <c r="A54" s="9" t="s">
        <v>293</v>
      </c>
      <c r="B54" s="10"/>
      <c r="C54" s="11" t="s">
        <v>259</v>
      </c>
      <c r="D54" s="12" t="s">
        <v>294</v>
      </c>
      <c r="E54" s="21" t="s">
        <v>13</v>
      </c>
      <c r="F54" s="14"/>
      <c r="G54" s="15" t="s">
        <v>295</v>
      </c>
      <c r="H54" s="15" t="s">
        <v>296</v>
      </c>
      <c r="I54" s="16" t="s">
        <v>297</v>
      </c>
      <c r="J54" s="17"/>
      <c r="K54" s="17"/>
      <c r="L54" s="18"/>
    </row>
    <row r="55" customFormat="false" ht="42" hidden="false" customHeight="true" outlineLevel="0" collapsed="false">
      <c r="A55" s="9" t="s">
        <v>298</v>
      </c>
      <c r="B55" s="10"/>
      <c r="C55" s="11" t="s">
        <v>259</v>
      </c>
      <c r="D55" s="12" t="s">
        <v>299</v>
      </c>
      <c r="E55" s="13" t="s">
        <v>7</v>
      </c>
      <c r="F55" s="14" t="s">
        <v>55</v>
      </c>
      <c r="G55" s="15" t="s">
        <v>300</v>
      </c>
      <c r="H55" s="15" t="s">
        <v>301</v>
      </c>
      <c r="I55" s="16" t="s">
        <v>302</v>
      </c>
      <c r="J55" s="17"/>
      <c r="K55" s="17"/>
      <c r="L55" s="18"/>
    </row>
    <row r="56" customFormat="false" ht="19.5" hidden="false" customHeight="true" outlineLevel="0" collapsed="false">
      <c r="A56" s="7" t="s">
        <v>303</v>
      </c>
      <c r="B56" s="7" t="s">
        <v>304</v>
      </c>
      <c r="C56" s="7" t="s">
        <v>259</v>
      </c>
      <c r="D56" s="8"/>
      <c r="E56" s="8"/>
      <c r="F56" s="8"/>
      <c r="G56" s="8"/>
      <c r="H56" s="8"/>
      <c r="I56" s="8"/>
      <c r="J56" s="8"/>
      <c r="K56" s="8"/>
      <c r="L56" s="8"/>
    </row>
    <row r="57" customFormat="false" ht="54.75" hidden="false" customHeight="true" outlineLevel="0" collapsed="false">
      <c r="A57" s="9" t="s">
        <v>305</v>
      </c>
      <c r="B57" s="10"/>
      <c r="C57" s="11" t="s">
        <v>259</v>
      </c>
      <c r="D57" s="12" t="s">
        <v>306</v>
      </c>
      <c r="E57" s="19" t="s">
        <v>17</v>
      </c>
      <c r="F57" s="14" t="s">
        <v>159</v>
      </c>
      <c r="G57" s="15" t="s">
        <v>307</v>
      </c>
      <c r="H57" s="15" t="s">
        <v>308</v>
      </c>
      <c r="I57" s="16" t="s">
        <v>309</v>
      </c>
      <c r="J57" s="17"/>
      <c r="K57" s="17"/>
      <c r="L57" s="18"/>
    </row>
    <row r="58" customFormat="false" ht="54.75" hidden="false" customHeight="true" outlineLevel="0" collapsed="false">
      <c r="A58" s="9" t="s">
        <v>310</v>
      </c>
      <c r="B58" s="10"/>
      <c r="C58" s="11" t="s">
        <v>259</v>
      </c>
      <c r="D58" s="12" t="s">
        <v>311</v>
      </c>
      <c r="E58" s="19" t="s">
        <v>17</v>
      </c>
      <c r="F58" s="14" t="s">
        <v>81</v>
      </c>
      <c r="G58" s="15" t="s">
        <v>312</v>
      </c>
      <c r="H58" s="15" t="s">
        <v>313</v>
      </c>
      <c r="I58" s="16" t="s">
        <v>314</v>
      </c>
      <c r="J58" s="17"/>
      <c r="K58" s="17"/>
      <c r="L58" s="18"/>
    </row>
    <row r="59" customFormat="false" ht="54.75" hidden="false" customHeight="true" outlineLevel="0" collapsed="false">
      <c r="A59" s="9" t="s">
        <v>315</v>
      </c>
      <c r="B59" s="10"/>
      <c r="C59" s="11" t="s">
        <v>259</v>
      </c>
      <c r="D59" s="12" t="s">
        <v>316</v>
      </c>
      <c r="E59" s="13" t="s">
        <v>7</v>
      </c>
      <c r="F59" s="14" t="s">
        <v>81</v>
      </c>
      <c r="G59" s="15" t="s">
        <v>317</v>
      </c>
      <c r="H59" s="15" t="s">
        <v>318</v>
      </c>
      <c r="I59" s="16" t="s">
        <v>319</v>
      </c>
      <c r="J59" s="17"/>
      <c r="K59" s="17"/>
      <c r="L59" s="18"/>
    </row>
    <row r="60" customFormat="false" ht="42" hidden="false" customHeight="true" outlineLevel="0" collapsed="false">
      <c r="A60" s="9" t="s">
        <v>320</v>
      </c>
      <c r="B60" s="10"/>
      <c r="C60" s="11" t="s">
        <v>259</v>
      </c>
      <c r="D60" s="12" t="s">
        <v>321</v>
      </c>
      <c r="E60" s="19" t="s">
        <v>17</v>
      </c>
      <c r="F60" s="14" t="s">
        <v>55</v>
      </c>
      <c r="G60" s="15" t="s">
        <v>322</v>
      </c>
      <c r="H60" s="15" t="s">
        <v>323</v>
      </c>
      <c r="I60" s="16" t="s">
        <v>324</v>
      </c>
      <c r="J60" s="17"/>
      <c r="K60" s="17"/>
      <c r="L60" s="18"/>
    </row>
    <row r="61" customFormat="false" ht="42" hidden="false" customHeight="true" outlineLevel="0" collapsed="false">
      <c r="A61" s="9" t="s">
        <v>325</v>
      </c>
      <c r="B61" s="10"/>
      <c r="C61" s="11" t="s">
        <v>259</v>
      </c>
      <c r="D61" s="12" t="s">
        <v>326</v>
      </c>
      <c r="E61" s="19" t="s">
        <v>17</v>
      </c>
      <c r="F61" s="14" t="s">
        <v>81</v>
      </c>
      <c r="G61" s="15" t="s">
        <v>327</v>
      </c>
      <c r="H61" s="15" t="s">
        <v>328</v>
      </c>
      <c r="I61" s="16" t="s">
        <v>329</v>
      </c>
      <c r="J61" s="17"/>
      <c r="K61" s="17"/>
      <c r="L61" s="18"/>
    </row>
    <row r="62" customFormat="false" ht="42" hidden="false" customHeight="true" outlineLevel="0" collapsed="false">
      <c r="A62" s="9" t="s">
        <v>330</v>
      </c>
      <c r="B62" s="10"/>
      <c r="C62" s="11" t="s">
        <v>259</v>
      </c>
      <c r="D62" s="12" t="s">
        <v>331</v>
      </c>
      <c r="E62" s="19" t="s">
        <v>17</v>
      </c>
      <c r="F62" s="14" t="s">
        <v>55</v>
      </c>
      <c r="G62" s="15" t="s">
        <v>332</v>
      </c>
      <c r="H62" s="15" t="s">
        <v>333</v>
      </c>
      <c r="I62" s="16" t="s">
        <v>334</v>
      </c>
      <c r="J62" s="17"/>
      <c r="K62" s="17"/>
      <c r="L62" s="18"/>
    </row>
    <row r="63" customFormat="false" ht="54.75" hidden="false" customHeight="true" outlineLevel="0" collapsed="false">
      <c r="A63" s="9" t="s">
        <v>335</v>
      </c>
      <c r="B63" s="10"/>
      <c r="C63" s="11" t="s">
        <v>259</v>
      </c>
      <c r="D63" s="12" t="s">
        <v>336</v>
      </c>
      <c r="E63" s="19" t="s">
        <v>17</v>
      </c>
      <c r="F63" s="14" t="s">
        <v>55</v>
      </c>
      <c r="G63" s="15" t="s">
        <v>337</v>
      </c>
      <c r="H63" s="15" t="s">
        <v>338</v>
      </c>
      <c r="I63" s="16" t="s">
        <v>339</v>
      </c>
      <c r="J63" s="17"/>
      <c r="K63" s="17"/>
      <c r="L63" s="18"/>
    </row>
    <row r="64" customFormat="false" ht="19.5" hidden="false" customHeight="true" outlineLevel="0" collapsed="false">
      <c r="A64" s="7" t="s">
        <v>340</v>
      </c>
      <c r="B64" s="7" t="s">
        <v>341</v>
      </c>
      <c r="C64" s="7" t="s">
        <v>342</v>
      </c>
      <c r="D64" s="8"/>
      <c r="E64" s="8"/>
      <c r="F64" s="8"/>
      <c r="G64" s="8"/>
      <c r="H64" s="8"/>
      <c r="I64" s="8"/>
      <c r="J64" s="8"/>
      <c r="K64" s="8"/>
      <c r="L64" s="8"/>
    </row>
    <row r="65" customFormat="false" ht="42" hidden="false" customHeight="true" outlineLevel="0" collapsed="false">
      <c r="A65" s="9" t="s">
        <v>343</v>
      </c>
      <c r="B65" s="10"/>
      <c r="C65" s="11" t="s">
        <v>342</v>
      </c>
      <c r="D65" s="12" t="s">
        <v>344</v>
      </c>
      <c r="E65" s="19" t="s">
        <v>17</v>
      </c>
      <c r="F65" s="14" t="s">
        <v>159</v>
      </c>
      <c r="G65" s="15" t="s">
        <v>345</v>
      </c>
      <c r="H65" s="15" t="s">
        <v>346</v>
      </c>
      <c r="I65" s="16" t="s">
        <v>347</v>
      </c>
      <c r="J65" s="17"/>
      <c r="K65" s="17"/>
      <c r="L65" s="18"/>
    </row>
    <row r="66" customFormat="false" ht="42" hidden="false" customHeight="true" outlineLevel="0" collapsed="false">
      <c r="A66" s="9" t="s">
        <v>348</v>
      </c>
      <c r="B66" s="10"/>
      <c r="C66" s="11" t="s">
        <v>342</v>
      </c>
      <c r="D66" s="12" t="s">
        <v>349</v>
      </c>
      <c r="E66" s="19" t="s">
        <v>17</v>
      </c>
      <c r="F66" s="14" t="s">
        <v>81</v>
      </c>
      <c r="G66" s="15" t="s">
        <v>350</v>
      </c>
      <c r="H66" s="15" t="s">
        <v>351</v>
      </c>
      <c r="I66" s="16" t="s">
        <v>352</v>
      </c>
      <c r="J66" s="17"/>
      <c r="K66" s="17"/>
      <c r="L66" s="18"/>
    </row>
    <row r="67" customFormat="false" ht="42" hidden="false" customHeight="true" outlineLevel="0" collapsed="false">
      <c r="A67" s="9" t="s">
        <v>353</v>
      </c>
      <c r="B67" s="10"/>
      <c r="C67" s="11" t="s">
        <v>342</v>
      </c>
      <c r="D67" s="12" t="s">
        <v>354</v>
      </c>
      <c r="E67" s="19" t="s">
        <v>17</v>
      </c>
      <c r="F67" s="14" t="s">
        <v>81</v>
      </c>
      <c r="G67" s="15" t="s">
        <v>355</v>
      </c>
      <c r="H67" s="15" t="s">
        <v>356</v>
      </c>
      <c r="I67" s="16" t="s">
        <v>357</v>
      </c>
      <c r="J67" s="17"/>
      <c r="K67" s="17"/>
      <c r="L67" s="18"/>
    </row>
    <row r="68" customFormat="false" ht="54.75" hidden="false" customHeight="true" outlineLevel="0" collapsed="false">
      <c r="A68" s="9" t="s">
        <v>358</v>
      </c>
      <c r="B68" s="10"/>
      <c r="C68" s="11" t="s">
        <v>342</v>
      </c>
      <c r="D68" s="12" t="s">
        <v>359</v>
      </c>
      <c r="E68" s="19" t="s">
        <v>17</v>
      </c>
      <c r="F68" s="14" t="s">
        <v>81</v>
      </c>
      <c r="G68" s="15" t="s">
        <v>360</v>
      </c>
      <c r="H68" s="15" t="s">
        <v>361</v>
      </c>
      <c r="I68" s="16" t="s">
        <v>362</v>
      </c>
      <c r="J68" s="17"/>
      <c r="K68" s="17"/>
      <c r="L68" s="18"/>
    </row>
    <row r="69" customFormat="false" ht="67.5" hidden="false" customHeight="true" outlineLevel="0" collapsed="false">
      <c r="A69" s="9" t="s">
        <v>363</v>
      </c>
      <c r="B69" s="10"/>
      <c r="C69" s="11" t="s">
        <v>342</v>
      </c>
      <c r="D69" s="12" t="s">
        <v>364</v>
      </c>
      <c r="E69" s="19" t="s">
        <v>17</v>
      </c>
      <c r="F69" s="14" t="s">
        <v>159</v>
      </c>
      <c r="G69" s="15" t="s">
        <v>365</v>
      </c>
      <c r="H69" s="15" t="s">
        <v>366</v>
      </c>
      <c r="I69" s="16" t="s">
        <v>367</v>
      </c>
      <c r="J69" s="17"/>
      <c r="K69" s="17"/>
      <c r="L69" s="18"/>
    </row>
    <row r="70" customFormat="false" ht="42" hidden="false" customHeight="true" outlineLevel="0" collapsed="false">
      <c r="A70" s="9" t="s">
        <v>368</v>
      </c>
      <c r="B70" s="10"/>
      <c r="C70" s="11" t="s">
        <v>342</v>
      </c>
      <c r="D70" s="12" t="s">
        <v>369</v>
      </c>
      <c r="E70" s="19" t="s">
        <v>17</v>
      </c>
      <c r="F70" s="14" t="s">
        <v>55</v>
      </c>
      <c r="G70" s="15" t="s">
        <v>370</v>
      </c>
      <c r="H70" s="15" t="s">
        <v>371</v>
      </c>
      <c r="I70" s="16" t="s">
        <v>372</v>
      </c>
      <c r="J70" s="17"/>
      <c r="K70" s="17"/>
      <c r="L70" s="18"/>
    </row>
    <row r="71" customFormat="false" ht="54.75" hidden="false" customHeight="true" outlineLevel="0" collapsed="false">
      <c r="A71" s="9" t="s">
        <v>373</v>
      </c>
      <c r="B71" s="10"/>
      <c r="C71" s="11" t="s">
        <v>342</v>
      </c>
      <c r="D71" s="12" t="s">
        <v>374</v>
      </c>
      <c r="E71" s="19" t="s">
        <v>17</v>
      </c>
      <c r="F71" s="14" t="s">
        <v>81</v>
      </c>
      <c r="G71" s="15" t="s">
        <v>375</v>
      </c>
      <c r="H71" s="15" t="s">
        <v>376</v>
      </c>
      <c r="I71" s="16" t="s">
        <v>377</v>
      </c>
      <c r="J71" s="17"/>
      <c r="K71" s="17"/>
      <c r="L71" s="18"/>
    </row>
    <row r="72" customFormat="false" ht="42" hidden="false" customHeight="true" outlineLevel="0" collapsed="false">
      <c r="A72" s="9" t="s">
        <v>378</v>
      </c>
      <c r="B72" s="10"/>
      <c r="C72" s="11" t="s">
        <v>342</v>
      </c>
      <c r="D72" s="12" t="s">
        <v>379</v>
      </c>
      <c r="E72" s="19" t="s">
        <v>17</v>
      </c>
      <c r="F72" s="14" t="s">
        <v>81</v>
      </c>
      <c r="G72" s="15" t="s">
        <v>380</v>
      </c>
      <c r="H72" s="15" t="s">
        <v>381</v>
      </c>
      <c r="I72" s="16" t="s">
        <v>382</v>
      </c>
      <c r="J72" s="17"/>
      <c r="K72" s="17"/>
      <c r="L72" s="18"/>
    </row>
    <row r="73" customFormat="false" ht="19.5" hidden="false" customHeight="true" outlineLevel="0" collapsed="false">
      <c r="A73" s="7" t="s">
        <v>383</v>
      </c>
      <c r="B73" s="7" t="s">
        <v>384</v>
      </c>
      <c r="C73" s="7" t="s">
        <v>385</v>
      </c>
      <c r="D73" s="8"/>
      <c r="E73" s="8"/>
      <c r="F73" s="8"/>
      <c r="G73" s="8"/>
      <c r="H73" s="8"/>
      <c r="I73" s="8"/>
      <c r="J73" s="8"/>
      <c r="K73" s="8"/>
      <c r="L73" s="8"/>
    </row>
    <row r="74" customFormat="false" ht="54.75" hidden="false" customHeight="true" outlineLevel="0" collapsed="false">
      <c r="A74" s="9" t="s">
        <v>386</v>
      </c>
      <c r="B74" s="10"/>
      <c r="C74" s="11" t="s">
        <v>385</v>
      </c>
      <c r="D74" s="12" t="s">
        <v>387</v>
      </c>
      <c r="E74" s="19" t="s">
        <v>17</v>
      </c>
      <c r="F74" s="14" t="s">
        <v>159</v>
      </c>
      <c r="G74" s="15" t="s">
        <v>388</v>
      </c>
      <c r="H74" s="15" t="s">
        <v>389</v>
      </c>
      <c r="I74" s="16" t="s">
        <v>390</v>
      </c>
      <c r="J74" s="17"/>
      <c r="K74" s="17"/>
      <c r="L74" s="18"/>
    </row>
    <row r="75" customFormat="false" ht="54.75" hidden="false" customHeight="true" outlineLevel="0" collapsed="false">
      <c r="A75" s="9" t="s">
        <v>391</v>
      </c>
      <c r="B75" s="10"/>
      <c r="C75" s="11" t="s">
        <v>385</v>
      </c>
      <c r="D75" s="12" t="s">
        <v>392</v>
      </c>
      <c r="E75" s="19" t="s">
        <v>17</v>
      </c>
      <c r="F75" s="14" t="s">
        <v>81</v>
      </c>
      <c r="G75" s="15" t="s">
        <v>393</v>
      </c>
      <c r="H75" s="15" t="s">
        <v>394</v>
      </c>
      <c r="I75" s="16" t="s">
        <v>395</v>
      </c>
      <c r="J75" s="17"/>
      <c r="K75" s="17"/>
      <c r="L75" s="18"/>
    </row>
    <row r="76" customFormat="false" ht="81" hidden="false" customHeight="true" outlineLevel="0" collapsed="false">
      <c r="A76" s="9" t="s">
        <v>396</v>
      </c>
      <c r="B76" s="10"/>
      <c r="C76" s="11" t="s">
        <v>385</v>
      </c>
      <c r="D76" s="12" t="s">
        <v>397</v>
      </c>
      <c r="E76" s="19" t="s">
        <v>17</v>
      </c>
      <c r="F76" s="14" t="s">
        <v>159</v>
      </c>
      <c r="G76" s="15" t="s">
        <v>398</v>
      </c>
      <c r="H76" s="15" t="s">
        <v>399</v>
      </c>
      <c r="I76" s="16" t="s">
        <v>400</v>
      </c>
      <c r="J76" s="17"/>
      <c r="K76" s="17"/>
      <c r="L76" s="18"/>
    </row>
    <row r="77" customFormat="false" ht="54.75" hidden="false" customHeight="true" outlineLevel="0" collapsed="false">
      <c r="A77" s="9" t="s">
        <v>401</v>
      </c>
      <c r="B77" s="10"/>
      <c r="C77" s="11" t="s">
        <v>385</v>
      </c>
      <c r="D77" s="12" t="s">
        <v>402</v>
      </c>
      <c r="E77" s="19" t="s">
        <v>17</v>
      </c>
      <c r="F77" s="14" t="s">
        <v>81</v>
      </c>
      <c r="G77" s="15" t="s">
        <v>403</v>
      </c>
      <c r="H77" s="15" t="s">
        <v>404</v>
      </c>
      <c r="I77" s="16" t="s">
        <v>405</v>
      </c>
      <c r="J77" s="17"/>
      <c r="K77" s="17"/>
      <c r="L77" s="18"/>
    </row>
    <row r="78" customFormat="false" ht="81" hidden="false" customHeight="true" outlineLevel="0" collapsed="false">
      <c r="A78" s="9" t="s">
        <v>406</v>
      </c>
      <c r="B78" s="10"/>
      <c r="C78" s="11" t="s">
        <v>385</v>
      </c>
      <c r="D78" s="12" t="s">
        <v>407</v>
      </c>
      <c r="E78" s="19" t="s">
        <v>17</v>
      </c>
      <c r="F78" s="14" t="s">
        <v>159</v>
      </c>
      <c r="G78" s="15" t="s">
        <v>408</v>
      </c>
      <c r="H78" s="15" t="s">
        <v>409</v>
      </c>
      <c r="I78" s="16" t="s">
        <v>410</v>
      </c>
      <c r="J78" s="17"/>
      <c r="K78" s="17"/>
      <c r="L78" s="18"/>
    </row>
    <row r="79" customFormat="false" ht="42" hidden="false" customHeight="true" outlineLevel="0" collapsed="false">
      <c r="A79" s="9" t="s">
        <v>411</v>
      </c>
      <c r="B79" s="10"/>
      <c r="C79" s="11" t="s">
        <v>385</v>
      </c>
      <c r="D79" s="12" t="s">
        <v>412</v>
      </c>
      <c r="E79" s="19" t="s">
        <v>17</v>
      </c>
      <c r="F79" s="14" t="s">
        <v>81</v>
      </c>
      <c r="G79" s="15" t="s">
        <v>413</v>
      </c>
      <c r="H79" s="15" t="s">
        <v>414</v>
      </c>
      <c r="I79" s="16" t="s">
        <v>415</v>
      </c>
      <c r="J79" s="17"/>
      <c r="K79" s="17"/>
      <c r="L79" s="18"/>
    </row>
    <row r="80" customFormat="false" ht="81" hidden="false" customHeight="true" outlineLevel="0" collapsed="false">
      <c r="A80" s="9" t="s">
        <v>416</v>
      </c>
      <c r="B80" s="10"/>
      <c r="C80" s="11" t="s">
        <v>385</v>
      </c>
      <c r="D80" s="12" t="s">
        <v>417</v>
      </c>
      <c r="E80" s="19" t="s">
        <v>17</v>
      </c>
      <c r="F80" s="14" t="s">
        <v>159</v>
      </c>
      <c r="G80" s="15" t="s">
        <v>418</v>
      </c>
      <c r="H80" s="15" t="s">
        <v>419</v>
      </c>
      <c r="I80" s="16" t="s">
        <v>420</v>
      </c>
      <c r="J80" s="17"/>
      <c r="K80" s="17"/>
      <c r="L80" s="18"/>
    </row>
    <row r="81" customFormat="false" ht="42" hidden="false" customHeight="true" outlineLevel="0" collapsed="false">
      <c r="A81" s="9" t="s">
        <v>421</v>
      </c>
      <c r="B81" s="10"/>
      <c r="C81" s="11" t="s">
        <v>385</v>
      </c>
      <c r="D81" s="12" t="s">
        <v>422</v>
      </c>
      <c r="E81" s="19" t="s">
        <v>17</v>
      </c>
      <c r="F81" s="14" t="s">
        <v>81</v>
      </c>
      <c r="G81" s="15" t="s">
        <v>423</v>
      </c>
      <c r="H81" s="15" t="s">
        <v>424</v>
      </c>
      <c r="I81" s="16" t="s">
        <v>425</v>
      </c>
      <c r="J81" s="17"/>
      <c r="K81" s="17"/>
      <c r="L81" s="18"/>
    </row>
    <row r="82" customFormat="false" ht="54.75" hidden="false" customHeight="true" outlineLevel="0" collapsed="false">
      <c r="A82" s="9" t="s">
        <v>426</v>
      </c>
      <c r="B82" s="10"/>
      <c r="C82" s="11" t="s">
        <v>385</v>
      </c>
      <c r="D82" s="12" t="s">
        <v>427</v>
      </c>
      <c r="E82" s="19" t="s">
        <v>17</v>
      </c>
      <c r="F82" s="14" t="s">
        <v>81</v>
      </c>
      <c r="G82" s="15" t="s">
        <v>428</v>
      </c>
      <c r="H82" s="15" t="s">
        <v>429</v>
      </c>
      <c r="I82" s="16" t="s">
        <v>430</v>
      </c>
      <c r="J82" s="17"/>
      <c r="K82" s="17"/>
      <c r="L82" s="18"/>
    </row>
    <row r="83" customFormat="false" ht="81" hidden="false" customHeight="true" outlineLevel="0" collapsed="false">
      <c r="A83" s="9" t="s">
        <v>431</v>
      </c>
      <c r="B83" s="10"/>
      <c r="C83" s="11" t="s">
        <v>385</v>
      </c>
      <c r="D83" s="12" t="s">
        <v>432</v>
      </c>
      <c r="E83" s="19" t="s">
        <v>17</v>
      </c>
      <c r="F83" s="14" t="s">
        <v>159</v>
      </c>
      <c r="G83" s="15" t="s">
        <v>433</v>
      </c>
      <c r="H83" s="15" t="s">
        <v>434</v>
      </c>
      <c r="I83" s="16" t="s">
        <v>435</v>
      </c>
      <c r="J83" s="17"/>
      <c r="K83" s="17"/>
      <c r="L83" s="18"/>
    </row>
    <row r="84" customFormat="false" ht="42" hidden="false" customHeight="true" outlineLevel="0" collapsed="false">
      <c r="A84" s="9" t="s">
        <v>436</v>
      </c>
      <c r="B84" s="10"/>
      <c r="C84" s="11" t="s">
        <v>385</v>
      </c>
      <c r="D84" s="12" t="s">
        <v>437</v>
      </c>
      <c r="E84" s="19" t="s">
        <v>17</v>
      </c>
      <c r="F84" s="14" t="s">
        <v>81</v>
      </c>
      <c r="G84" s="15" t="s">
        <v>438</v>
      </c>
      <c r="H84" s="15" t="s">
        <v>439</v>
      </c>
      <c r="I84" s="16" t="s">
        <v>440</v>
      </c>
      <c r="J84" s="17"/>
      <c r="K84" s="17"/>
      <c r="L84" s="18"/>
    </row>
    <row r="85" customFormat="false" ht="54.75" hidden="false" customHeight="true" outlineLevel="0" collapsed="false">
      <c r="A85" s="9" t="s">
        <v>441</v>
      </c>
      <c r="B85" s="10"/>
      <c r="C85" s="11" t="s">
        <v>385</v>
      </c>
      <c r="D85" s="12" t="s">
        <v>442</v>
      </c>
      <c r="E85" s="19" t="s">
        <v>17</v>
      </c>
      <c r="F85" s="14" t="s">
        <v>81</v>
      </c>
      <c r="G85" s="15" t="s">
        <v>443</v>
      </c>
      <c r="H85" s="15" t="s">
        <v>444</v>
      </c>
      <c r="I85" s="16" t="s">
        <v>445</v>
      </c>
      <c r="J85" s="17"/>
      <c r="K85" s="17"/>
      <c r="L85" s="18"/>
    </row>
    <row r="86" customFormat="false" ht="81" hidden="false" customHeight="true" outlineLevel="0" collapsed="false">
      <c r="A86" s="9" t="s">
        <v>446</v>
      </c>
      <c r="B86" s="10"/>
      <c r="C86" s="11" t="s">
        <v>385</v>
      </c>
      <c r="D86" s="12" t="s">
        <v>447</v>
      </c>
      <c r="E86" s="19" t="s">
        <v>17</v>
      </c>
      <c r="F86" s="14" t="s">
        <v>81</v>
      </c>
      <c r="G86" s="15" t="s">
        <v>448</v>
      </c>
      <c r="H86" s="15" t="s">
        <v>449</v>
      </c>
      <c r="I86" s="16" t="s">
        <v>450</v>
      </c>
      <c r="J86" s="17"/>
      <c r="K86" s="17"/>
      <c r="L86" s="18"/>
    </row>
    <row r="87" customFormat="false" ht="19.5" hidden="false" customHeight="true" outlineLevel="0" collapsed="false">
      <c r="A87" s="7" t="s">
        <v>451</v>
      </c>
      <c r="B87" s="7" t="s">
        <v>452</v>
      </c>
      <c r="C87" s="7" t="s">
        <v>453</v>
      </c>
      <c r="D87" s="8"/>
      <c r="E87" s="8"/>
      <c r="F87" s="8"/>
      <c r="G87" s="8"/>
      <c r="H87" s="8"/>
      <c r="I87" s="8"/>
      <c r="J87" s="8"/>
      <c r="K87" s="8"/>
      <c r="L87" s="8"/>
    </row>
    <row r="88" customFormat="false" ht="42" hidden="false" customHeight="true" outlineLevel="0" collapsed="false">
      <c r="A88" s="9" t="s">
        <v>454</v>
      </c>
      <c r="B88" s="10"/>
      <c r="C88" s="11" t="s">
        <v>453</v>
      </c>
      <c r="D88" s="12" t="s">
        <v>455</v>
      </c>
      <c r="E88" s="19" t="s">
        <v>17</v>
      </c>
      <c r="F88" s="14" t="s">
        <v>81</v>
      </c>
      <c r="G88" s="15" t="s">
        <v>456</v>
      </c>
      <c r="H88" s="15" t="s">
        <v>457</v>
      </c>
      <c r="I88" s="16" t="s">
        <v>458</v>
      </c>
      <c r="J88" s="17"/>
      <c r="K88" s="17"/>
      <c r="L88" s="18"/>
    </row>
    <row r="89" customFormat="false" ht="42" hidden="false" customHeight="true" outlineLevel="0" collapsed="false">
      <c r="A89" s="9" t="s">
        <v>459</v>
      </c>
      <c r="B89" s="10"/>
      <c r="C89" s="11" t="s">
        <v>453</v>
      </c>
      <c r="D89" s="12" t="s">
        <v>460</v>
      </c>
      <c r="E89" s="19" t="s">
        <v>17</v>
      </c>
      <c r="F89" s="14" t="s">
        <v>81</v>
      </c>
      <c r="G89" s="15" t="s">
        <v>461</v>
      </c>
      <c r="H89" s="15" t="s">
        <v>462</v>
      </c>
      <c r="I89" s="16" t="s">
        <v>463</v>
      </c>
      <c r="J89" s="17"/>
      <c r="K89" s="17"/>
      <c r="L89" s="18"/>
    </row>
    <row r="90" customFormat="false" ht="54.75" hidden="false" customHeight="true" outlineLevel="0" collapsed="false">
      <c r="A90" s="9" t="s">
        <v>464</v>
      </c>
      <c r="B90" s="10"/>
      <c r="C90" s="11" t="s">
        <v>453</v>
      </c>
      <c r="D90" s="12" t="s">
        <v>465</v>
      </c>
      <c r="E90" s="19" t="s">
        <v>17</v>
      </c>
      <c r="F90" s="14" t="s">
        <v>81</v>
      </c>
      <c r="G90" s="15" t="s">
        <v>466</v>
      </c>
      <c r="H90" s="15" t="s">
        <v>467</v>
      </c>
      <c r="I90" s="16" t="s">
        <v>468</v>
      </c>
      <c r="J90" s="17"/>
      <c r="K90" s="17"/>
      <c r="L90" s="18"/>
    </row>
    <row r="91" customFormat="false" ht="42" hidden="false" customHeight="true" outlineLevel="0" collapsed="false">
      <c r="A91" s="9" t="s">
        <v>469</v>
      </c>
      <c r="B91" s="10"/>
      <c r="C91" s="11" t="s">
        <v>453</v>
      </c>
      <c r="D91" s="12" t="s">
        <v>470</v>
      </c>
      <c r="E91" s="19" t="s">
        <v>17</v>
      </c>
      <c r="F91" s="14" t="s">
        <v>81</v>
      </c>
      <c r="G91" s="15" t="s">
        <v>471</v>
      </c>
      <c r="H91" s="15" t="s">
        <v>472</v>
      </c>
      <c r="I91" s="16" t="s">
        <v>473</v>
      </c>
      <c r="J91" s="17"/>
      <c r="K91" s="17"/>
      <c r="L91" s="18"/>
    </row>
    <row r="92" customFormat="false" ht="42" hidden="false" customHeight="true" outlineLevel="0" collapsed="false">
      <c r="A92" s="9" t="s">
        <v>474</v>
      </c>
      <c r="B92" s="10"/>
      <c r="C92" s="11" t="s">
        <v>453</v>
      </c>
      <c r="D92" s="12" t="s">
        <v>475</v>
      </c>
      <c r="E92" s="19" t="s">
        <v>17</v>
      </c>
      <c r="F92" s="14" t="s">
        <v>81</v>
      </c>
      <c r="G92" s="15" t="s">
        <v>476</v>
      </c>
      <c r="H92" s="15" t="s">
        <v>477</v>
      </c>
      <c r="I92" s="16" t="s">
        <v>478</v>
      </c>
      <c r="J92" s="17"/>
      <c r="K92" s="17"/>
      <c r="L92" s="18"/>
    </row>
    <row r="93" customFormat="false" ht="67.5" hidden="false" customHeight="true" outlineLevel="0" collapsed="false">
      <c r="A93" s="9" t="s">
        <v>479</v>
      </c>
      <c r="B93" s="10"/>
      <c r="C93" s="11" t="s">
        <v>453</v>
      </c>
      <c r="D93" s="12" t="s">
        <v>480</v>
      </c>
      <c r="E93" s="13" t="s">
        <v>7</v>
      </c>
      <c r="F93" s="14" t="s">
        <v>159</v>
      </c>
      <c r="G93" s="15" t="s">
        <v>481</v>
      </c>
      <c r="H93" s="15" t="s">
        <v>482</v>
      </c>
      <c r="I93" s="16" t="s">
        <v>483</v>
      </c>
      <c r="J93" s="17"/>
      <c r="K93" s="17"/>
      <c r="L93" s="18"/>
    </row>
    <row r="94" customFormat="false" ht="54.75" hidden="false" customHeight="true" outlineLevel="0" collapsed="false">
      <c r="A94" s="9" t="s">
        <v>484</v>
      </c>
      <c r="B94" s="10"/>
      <c r="C94" s="11" t="s">
        <v>453</v>
      </c>
      <c r="D94" s="12" t="s">
        <v>485</v>
      </c>
      <c r="E94" s="19" t="s">
        <v>17</v>
      </c>
      <c r="F94" s="14" t="s">
        <v>55</v>
      </c>
      <c r="G94" s="15" t="s">
        <v>486</v>
      </c>
      <c r="H94" s="15" t="s">
        <v>487</v>
      </c>
      <c r="I94" s="16" t="s">
        <v>488</v>
      </c>
      <c r="J94" s="17"/>
      <c r="K94" s="17"/>
      <c r="L94" s="18"/>
    </row>
    <row r="95" customFormat="false" ht="19.5" hidden="false" customHeight="true" outlineLevel="0" collapsed="false">
      <c r="A95" s="7" t="s">
        <v>489</v>
      </c>
      <c r="B95" s="7" t="s">
        <v>490</v>
      </c>
      <c r="C95" s="7" t="s">
        <v>491</v>
      </c>
      <c r="D95" s="8"/>
      <c r="E95" s="8"/>
      <c r="F95" s="8"/>
      <c r="G95" s="8"/>
      <c r="H95" s="8"/>
      <c r="I95" s="8"/>
      <c r="J95" s="8"/>
      <c r="K95" s="8"/>
      <c r="L95" s="8"/>
    </row>
    <row r="96" customFormat="false" ht="42" hidden="false" customHeight="true" outlineLevel="0" collapsed="false">
      <c r="A96" s="9" t="s">
        <v>492</v>
      </c>
      <c r="B96" s="10"/>
      <c r="C96" s="11" t="s">
        <v>491</v>
      </c>
      <c r="D96" s="12" t="s">
        <v>493</v>
      </c>
      <c r="E96" s="20" t="s">
        <v>15</v>
      </c>
      <c r="F96" s="14" t="s">
        <v>81</v>
      </c>
      <c r="G96" s="15" t="s">
        <v>494</v>
      </c>
      <c r="H96" s="15" t="s">
        <v>495</v>
      </c>
      <c r="I96" s="16" t="s">
        <v>496</v>
      </c>
      <c r="J96" s="17"/>
      <c r="K96" s="17"/>
      <c r="L96" s="18"/>
    </row>
    <row r="97" customFormat="false" ht="54.75" hidden="false" customHeight="true" outlineLevel="0" collapsed="false">
      <c r="A97" s="9" t="s">
        <v>497</v>
      </c>
      <c r="B97" s="10"/>
      <c r="C97" s="11" t="s">
        <v>491</v>
      </c>
      <c r="D97" s="12" t="s">
        <v>498</v>
      </c>
      <c r="E97" s="19" t="s">
        <v>17</v>
      </c>
      <c r="F97" s="14" t="s">
        <v>159</v>
      </c>
      <c r="G97" s="15" t="s">
        <v>499</v>
      </c>
      <c r="H97" s="15" t="s">
        <v>500</v>
      </c>
      <c r="I97" s="16" t="s">
        <v>501</v>
      </c>
      <c r="J97" s="17"/>
      <c r="K97" s="17"/>
      <c r="L97" s="18"/>
    </row>
    <row r="98" customFormat="false" ht="67.5" hidden="false" customHeight="true" outlineLevel="0" collapsed="false">
      <c r="A98" s="9" t="s">
        <v>502</v>
      </c>
      <c r="B98" s="10"/>
      <c r="C98" s="11" t="s">
        <v>491</v>
      </c>
      <c r="D98" s="12" t="s">
        <v>503</v>
      </c>
      <c r="E98" s="19" t="s">
        <v>17</v>
      </c>
      <c r="F98" s="14" t="s">
        <v>81</v>
      </c>
      <c r="G98" s="15" t="s">
        <v>504</v>
      </c>
      <c r="H98" s="15" t="s">
        <v>505</v>
      </c>
      <c r="I98" s="16" t="s">
        <v>506</v>
      </c>
      <c r="J98" s="17"/>
      <c r="K98" s="17"/>
      <c r="L98" s="18"/>
    </row>
    <row r="99" customFormat="false" ht="42" hidden="false" customHeight="true" outlineLevel="0" collapsed="false">
      <c r="A99" s="9" t="s">
        <v>507</v>
      </c>
      <c r="B99" s="10"/>
      <c r="C99" s="11" t="s">
        <v>491</v>
      </c>
      <c r="D99" s="12" t="s">
        <v>508</v>
      </c>
      <c r="E99" s="19" t="s">
        <v>17</v>
      </c>
      <c r="F99" s="14" t="s">
        <v>81</v>
      </c>
      <c r="G99" s="15" t="s">
        <v>509</v>
      </c>
      <c r="H99" s="15" t="s">
        <v>510</v>
      </c>
      <c r="I99" s="16" t="s">
        <v>511</v>
      </c>
      <c r="J99" s="17"/>
      <c r="K99" s="17"/>
      <c r="L99" s="18"/>
    </row>
    <row r="100" customFormat="false" ht="42" hidden="false" customHeight="true" outlineLevel="0" collapsed="false">
      <c r="A100" s="9" t="s">
        <v>512</v>
      </c>
      <c r="B100" s="10"/>
      <c r="C100" s="11" t="s">
        <v>491</v>
      </c>
      <c r="D100" s="12" t="s">
        <v>513</v>
      </c>
      <c r="E100" s="19" t="s">
        <v>17</v>
      </c>
      <c r="F100" s="14" t="s">
        <v>81</v>
      </c>
      <c r="G100" s="15" t="s">
        <v>514</v>
      </c>
      <c r="H100" s="15" t="s">
        <v>515</v>
      </c>
      <c r="I100" s="16" t="s">
        <v>516</v>
      </c>
      <c r="J100" s="17"/>
      <c r="K100" s="17"/>
      <c r="L100" s="18"/>
    </row>
    <row r="101" customFormat="false" ht="42" hidden="false" customHeight="true" outlineLevel="0" collapsed="false">
      <c r="A101" s="9" t="s">
        <v>517</v>
      </c>
      <c r="B101" s="10"/>
      <c r="C101" s="11" t="s">
        <v>491</v>
      </c>
      <c r="D101" s="12" t="s">
        <v>518</v>
      </c>
      <c r="E101" s="19" t="s">
        <v>17</v>
      </c>
      <c r="F101" s="14" t="s">
        <v>81</v>
      </c>
      <c r="G101" s="15" t="s">
        <v>519</v>
      </c>
      <c r="H101" s="15" t="s">
        <v>520</v>
      </c>
      <c r="I101" s="16" t="s">
        <v>521</v>
      </c>
      <c r="J101" s="17"/>
      <c r="K101" s="17"/>
      <c r="L101" s="18"/>
    </row>
    <row r="102" customFormat="false" ht="54.75" hidden="false" customHeight="true" outlineLevel="0" collapsed="false">
      <c r="A102" s="9" t="s">
        <v>522</v>
      </c>
      <c r="B102" s="10"/>
      <c r="C102" s="11" t="s">
        <v>491</v>
      </c>
      <c r="D102" s="12" t="s">
        <v>523</v>
      </c>
      <c r="E102" s="19" t="s">
        <v>17</v>
      </c>
      <c r="F102" s="14" t="s">
        <v>81</v>
      </c>
      <c r="G102" s="15" t="s">
        <v>524</v>
      </c>
      <c r="H102" s="15" t="s">
        <v>525</v>
      </c>
      <c r="I102" s="16" t="s">
        <v>526</v>
      </c>
      <c r="J102" s="17"/>
      <c r="K102" s="17"/>
      <c r="L102" s="18"/>
    </row>
    <row r="103" customFormat="false" ht="19.5" hidden="false" customHeight="true" outlineLevel="0" collapsed="false">
      <c r="A103" s="7" t="s">
        <v>527</v>
      </c>
      <c r="B103" s="7" t="s">
        <v>528</v>
      </c>
      <c r="C103" s="7" t="s">
        <v>529</v>
      </c>
      <c r="D103" s="8"/>
      <c r="E103" s="8"/>
      <c r="F103" s="8"/>
      <c r="G103" s="8"/>
      <c r="H103" s="8"/>
      <c r="I103" s="8"/>
      <c r="J103" s="8"/>
      <c r="K103" s="8"/>
      <c r="L103" s="8"/>
    </row>
    <row r="104" customFormat="false" ht="42" hidden="false" customHeight="true" outlineLevel="0" collapsed="false">
      <c r="A104" s="9" t="s">
        <v>530</v>
      </c>
      <c r="B104" s="10"/>
      <c r="C104" s="11" t="s">
        <v>529</v>
      </c>
      <c r="D104" s="12" t="s">
        <v>531</v>
      </c>
      <c r="E104" s="19" t="s">
        <v>17</v>
      </c>
      <c r="F104" s="14" t="s">
        <v>81</v>
      </c>
      <c r="G104" s="15" t="s">
        <v>532</v>
      </c>
      <c r="H104" s="15" t="s">
        <v>533</v>
      </c>
      <c r="I104" s="16" t="s">
        <v>534</v>
      </c>
      <c r="J104" s="17"/>
      <c r="K104" s="17"/>
      <c r="L104" s="18"/>
    </row>
    <row r="105" customFormat="false" ht="54.75" hidden="false" customHeight="true" outlineLevel="0" collapsed="false">
      <c r="A105" s="9" t="s">
        <v>535</v>
      </c>
      <c r="B105" s="10"/>
      <c r="C105" s="11" t="s">
        <v>529</v>
      </c>
      <c r="D105" s="12" t="s">
        <v>536</v>
      </c>
      <c r="E105" s="19" t="s">
        <v>17</v>
      </c>
      <c r="F105" s="14" t="s">
        <v>81</v>
      </c>
      <c r="G105" s="15" t="s">
        <v>537</v>
      </c>
      <c r="H105" s="15" t="s">
        <v>538</v>
      </c>
      <c r="I105" s="16" t="s">
        <v>539</v>
      </c>
      <c r="J105" s="17"/>
      <c r="K105" s="17"/>
      <c r="L105" s="18"/>
    </row>
    <row r="106" customFormat="false" ht="42" hidden="false" customHeight="true" outlineLevel="0" collapsed="false">
      <c r="A106" s="9" t="s">
        <v>540</v>
      </c>
      <c r="B106" s="10"/>
      <c r="C106" s="11" t="s">
        <v>529</v>
      </c>
      <c r="D106" s="12" t="s">
        <v>541</v>
      </c>
      <c r="E106" s="19" t="s">
        <v>17</v>
      </c>
      <c r="F106" s="14" t="s">
        <v>81</v>
      </c>
      <c r="G106" s="15" t="s">
        <v>542</v>
      </c>
      <c r="H106" s="15" t="s">
        <v>543</v>
      </c>
      <c r="I106" s="16" t="s">
        <v>544</v>
      </c>
      <c r="J106" s="17"/>
      <c r="K106" s="17"/>
      <c r="L106" s="18"/>
    </row>
    <row r="107" customFormat="false" ht="54.75" hidden="false" customHeight="true" outlineLevel="0" collapsed="false">
      <c r="A107" s="9" t="s">
        <v>545</v>
      </c>
      <c r="B107" s="10"/>
      <c r="C107" s="11" t="s">
        <v>529</v>
      </c>
      <c r="D107" s="12" t="s">
        <v>546</v>
      </c>
      <c r="E107" s="19" t="s">
        <v>17</v>
      </c>
      <c r="F107" s="14" t="s">
        <v>81</v>
      </c>
      <c r="G107" s="15" t="s">
        <v>547</v>
      </c>
      <c r="H107" s="15" t="s">
        <v>548</v>
      </c>
      <c r="I107" s="16" t="s">
        <v>549</v>
      </c>
      <c r="J107" s="17"/>
      <c r="K107" s="17"/>
      <c r="L107" s="18"/>
    </row>
    <row r="108" customFormat="false" ht="42" hidden="false" customHeight="true" outlineLevel="0" collapsed="false">
      <c r="A108" s="9" t="s">
        <v>550</v>
      </c>
      <c r="B108" s="10"/>
      <c r="C108" s="11" t="s">
        <v>529</v>
      </c>
      <c r="D108" s="12" t="s">
        <v>551</v>
      </c>
      <c r="E108" s="19" t="s">
        <v>17</v>
      </c>
      <c r="F108" s="14" t="s">
        <v>81</v>
      </c>
      <c r="G108" s="15" t="s">
        <v>552</v>
      </c>
      <c r="H108" s="15" t="s">
        <v>553</v>
      </c>
      <c r="I108" s="16" t="s">
        <v>554</v>
      </c>
      <c r="J108" s="17"/>
      <c r="K108" s="17"/>
      <c r="L108" s="18"/>
    </row>
    <row r="109" customFormat="false" ht="54.75" hidden="false" customHeight="true" outlineLevel="0" collapsed="false">
      <c r="A109" s="9" t="s">
        <v>555</v>
      </c>
      <c r="B109" s="10"/>
      <c r="C109" s="11" t="s">
        <v>529</v>
      </c>
      <c r="D109" s="12" t="s">
        <v>556</v>
      </c>
      <c r="E109" s="19" t="s">
        <v>17</v>
      </c>
      <c r="F109" s="14" t="s">
        <v>55</v>
      </c>
      <c r="G109" s="15" t="s">
        <v>557</v>
      </c>
      <c r="H109" s="15" t="s">
        <v>558</v>
      </c>
      <c r="I109" s="16" t="s">
        <v>559</v>
      </c>
      <c r="J109" s="17"/>
      <c r="K109" s="17"/>
      <c r="L109" s="18"/>
    </row>
    <row r="110" customFormat="false" ht="19.5" hidden="false" customHeight="true" outlineLevel="0" collapsed="false">
      <c r="A110" s="7" t="s">
        <v>560</v>
      </c>
      <c r="B110" s="7" t="s">
        <v>561</v>
      </c>
      <c r="C110" s="7" t="s">
        <v>259</v>
      </c>
      <c r="D110" s="8"/>
      <c r="E110" s="8"/>
      <c r="F110" s="8"/>
      <c r="G110" s="8"/>
      <c r="H110" s="8"/>
      <c r="I110" s="8"/>
      <c r="J110" s="8"/>
      <c r="K110" s="8"/>
      <c r="L110" s="8"/>
    </row>
    <row r="111" customFormat="false" ht="54.75" hidden="false" customHeight="true" outlineLevel="0" collapsed="false">
      <c r="A111" s="9" t="s">
        <v>562</v>
      </c>
      <c r="B111" s="10"/>
      <c r="C111" s="11" t="s">
        <v>259</v>
      </c>
      <c r="D111" s="12" t="s">
        <v>563</v>
      </c>
      <c r="E111" s="19" t="s">
        <v>17</v>
      </c>
      <c r="F111" s="14" t="s">
        <v>81</v>
      </c>
      <c r="G111" s="15" t="s">
        <v>564</v>
      </c>
      <c r="H111" s="15" t="s">
        <v>565</v>
      </c>
      <c r="I111" s="16" t="s">
        <v>566</v>
      </c>
      <c r="J111" s="17"/>
      <c r="K111" s="17"/>
      <c r="L111" s="18"/>
    </row>
    <row r="112" customFormat="false" ht="54.75" hidden="false" customHeight="true" outlineLevel="0" collapsed="false">
      <c r="A112" s="9" t="s">
        <v>567</v>
      </c>
      <c r="B112" s="10"/>
      <c r="C112" s="11" t="s">
        <v>259</v>
      </c>
      <c r="D112" s="12" t="s">
        <v>568</v>
      </c>
      <c r="E112" s="19" t="s">
        <v>17</v>
      </c>
      <c r="F112" s="14" t="s">
        <v>81</v>
      </c>
      <c r="G112" s="15" t="s">
        <v>569</v>
      </c>
      <c r="H112" s="15" t="s">
        <v>570</v>
      </c>
      <c r="I112" s="16" t="s">
        <v>571</v>
      </c>
      <c r="J112" s="17"/>
      <c r="K112" s="17"/>
      <c r="L112" s="18"/>
    </row>
    <row r="113" customFormat="false" ht="42" hidden="false" customHeight="true" outlineLevel="0" collapsed="false">
      <c r="A113" s="9" t="s">
        <v>572</v>
      </c>
      <c r="B113" s="10"/>
      <c r="C113" s="11" t="s">
        <v>259</v>
      </c>
      <c r="D113" s="12" t="s">
        <v>573</v>
      </c>
      <c r="E113" s="19" t="s">
        <v>17</v>
      </c>
      <c r="F113" s="14" t="s">
        <v>55</v>
      </c>
      <c r="G113" s="15" t="s">
        <v>574</v>
      </c>
      <c r="H113" s="15" t="s">
        <v>575</v>
      </c>
      <c r="I113" s="16" t="s">
        <v>576</v>
      </c>
      <c r="J113" s="17"/>
      <c r="K113" s="17"/>
      <c r="L113" s="18"/>
    </row>
    <row r="114" customFormat="false" ht="81" hidden="false" customHeight="true" outlineLevel="0" collapsed="false">
      <c r="A114" s="9" t="s">
        <v>577</v>
      </c>
      <c r="B114" s="10"/>
      <c r="C114" s="11" t="s">
        <v>259</v>
      </c>
      <c r="D114" s="12" t="s">
        <v>578</v>
      </c>
      <c r="E114" s="19" t="s">
        <v>17</v>
      </c>
      <c r="F114" s="14" t="s">
        <v>81</v>
      </c>
      <c r="G114" s="15" t="s">
        <v>579</v>
      </c>
      <c r="H114" s="15" t="s">
        <v>580</v>
      </c>
      <c r="I114" s="16" t="s">
        <v>581</v>
      </c>
      <c r="J114" s="17"/>
      <c r="K114" s="17"/>
      <c r="L114" s="18"/>
    </row>
    <row r="115" customFormat="false" ht="54.75" hidden="false" customHeight="true" outlineLevel="0" collapsed="false">
      <c r="A115" s="9" t="s">
        <v>582</v>
      </c>
      <c r="B115" s="10"/>
      <c r="C115" s="11" t="s">
        <v>259</v>
      </c>
      <c r="D115" s="12" t="s">
        <v>583</v>
      </c>
      <c r="E115" s="19" t="s">
        <v>17</v>
      </c>
      <c r="F115" s="14" t="s">
        <v>55</v>
      </c>
      <c r="G115" s="15" t="s">
        <v>584</v>
      </c>
      <c r="H115" s="15" t="s">
        <v>585</v>
      </c>
      <c r="I115" s="16" t="s">
        <v>586</v>
      </c>
      <c r="J115" s="17"/>
      <c r="K115" s="17"/>
      <c r="L115" s="18"/>
    </row>
    <row r="116" customFormat="false" ht="42" hidden="false" customHeight="true" outlineLevel="0" collapsed="false">
      <c r="A116" s="9" t="s">
        <v>587</v>
      </c>
      <c r="B116" s="10"/>
      <c r="C116" s="11" t="s">
        <v>259</v>
      </c>
      <c r="D116" s="12" t="s">
        <v>588</v>
      </c>
      <c r="E116" s="19" t="s">
        <v>17</v>
      </c>
      <c r="F116" s="14" t="s">
        <v>81</v>
      </c>
      <c r="G116" s="15" t="s">
        <v>589</v>
      </c>
      <c r="H116" s="15" t="s">
        <v>590</v>
      </c>
      <c r="I116" s="16" t="s">
        <v>591</v>
      </c>
      <c r="J116" s="17"/>
      <c r="K116" s="17"/>
      <c r="L116" s="18"/>
    </row>
    <row r="117" customFormat="false" ht="19.5" hidden="false" customHeight="true" outlineLevel="0" collapsed="false">
      <c r="A117" s="7" t="s">
        <v>592</v>
      </c>
      <c r="B117" s="7" t="s">
        <v>593</v>
      </c>
      <c r="C117" s="7" t="s">
        <v>385</v>
      </c>
      <c r="D117" s="8"/>
      <c r="E117" s="8"/>
      <c r="F117" s="8"/>
      <c r="G117" s="8"/>
      <c r="H117" s="8"/>
      <c r="I117" s="8"/>
      <c r="J117" s="8"/>
      <c r="K117" s="8"/>
      <c r="L117" s="8"/>
    </row>
    <row r="118" customFormat="false" ht="67.5" hidden="false" customHeight="true" outlineLevel="0" collapsed="false">
      <c r="A118" s="9" t="s">
        <v>594</v>
      </c>
      <c r="B118" s="10"/>
      <c r="C118" s="11" t="s">
        <v>385</v>
      </c>
      <c r="D118" s="12" t="s">
        <v>595</v>
      </c>
      <c r="E118" s="19" t="s">
        <v>17</v>
      </c>
      <c r="F118" s="14" t="s">
        <v>81</v>
      </c>
      <c r="G118" s="15" t="s">
        <v>596</v>
      </c>
      <c r="H118" s="15" t="s">
        <v>597</v>
      </c>
      <c r="I118" s="16" t="s">
        <v>598</v>
      </c>
      <c r="J118" s="17"/>
      <c r="K118" s="17"/>
      <c r="L118" s="18"/>
    </row>
    <row r="119" customFormat="false" ht="42" hidden="false" customHeight="true" outlineLevel="0" collapsed="false">
      <c r="A119" s="9" t="s">
        <v>599</v>
      </c>
      <c r="B119" s="10"/>
      <c r="C119" s="11" t="s">
        <v>385</v>
      </c>
      <c r="D119" s="12" t="s">
        <v>600</v>
      </c>
      <c r="E119" s="19" t="s">
        <v>17</v>
      </c>
      <c r="F119" s="14" t="s">
        <v>55</v>
      </c>
      <c r="G119" s="15" t="s">
        <v>601</v>
      </c>
      <c r="H119" s="15" t="s">
        <v>602</v>
      </c>
      <c r="I119" s="16" t="s">
        <v>603</v>
      </c>
      <c r="J119" s="17"/>
      <c r="K119" s="17"/>
      <c r="L119" s="18"/>
    </row>
    <row r="120" customFormat="false" ht="42" hidden="false" customHeight="true" outlineLevel="0" collapsed="false">
      <c r="A120" s="9" t="s">
        <v>604</v>
      </c>
      <c r="B120" s="10"/>
      <c r="C120" s="11" t="s">
        <v>385</v>
      </c>
      <c r="D120" s="12" t="s">
        <v>605</v>
      </c>
      <c r="E120" s="19" t="s">
        <v>17</v>
      </c>
      <c r="F120" s="14" t="s">
        <v>81</v>
      </c>
      <c r="G120" s="15" t="s">
        <v>606</v>
      </c>
      <c r="H120" s="15" t="s">
        <v>607</v>
      </c>
      <c r="I120" s="16" t="s">
        <v>608</v>
      </c>
      <c r="J120" s="17"/>
      <c r="K120" s="17"/>
      <c r="L120" s="18"/>
    </row>
    <row r="121" customFormat="false" ht="42" hidden="false" customHeight="true" outlineLevel="0" collapsed="false">
      <c r="A121" s="9" t="s">
        <v>609</v>
      </c>
      <c r="B121" s="10"/>
      <c r="C121" s="11" t="s">
        <v>385</v>
      </c>
      <c r="D121" s="12" t="s">
        <v>610</v>
      </c>
      <c r="E121" s="19" t="s">
        <v>17</v>
      </c>
      <c r="F121" s="14" t="s">
        <v>55</v>
      </c>
      <c r="G121" s="15" t="s">
        <v>611</v>
      </c>
      <c r="H121" s="15" t="s">
        <v>612</v>
      </c>
      <c r="I121" s="16" t="s">
        <v>613</v>
      </c>
      <c r="J121" s="17"/>
      <c r="K121" s="17"/>
      <c r="L121" s="18"/>
    </row>
    <row r="122" customFormat="false" ht="30" hidden="false" customHeight="true" outlineLevel="0" collapsed="false">
      <c r="A122" s="9" t="s">
        <v>614</v>
      </c>
      <c r="B122" s="10"/>
      <c r="C122" s="11" t="s">
        <v>385</v>
      </c>
      <c r="D122" s="12" t="s">
        <v>615</v>
      </c>
      <c r="E122" s="19" t="s">
        <v>17</v>
      </c>
      <c r="F122" s="14" t="s">
        <v>55</v>
      </c>
      <c r="G122" s="15" t="s">
        <v>616</v>
      </c>
      <c r="H122" s="15" t="s">
        <v>617</v>
      </c>
      <c r="I122" s="16" t="s">
        <v>478</v>
      </c>
      <c r="J122" s="17"/>
      <c r="K122" s="17"/>
      <c r="L122" s="18"/>
    </row>
    <row r="123" customFormat="false" ht="54.75" hidden="false" customHeight="true" outlineLevel="0" collapsed="false">
      <c r="A123" s="9" t="s">
        <v>618</v>
      </c>
      <c r="B123" s="10"/>
      <c r="C123" s="11" t="s">
        <v>385</v>
      </c>
      <c r="D123" s="12" t="s">
        <v>619</v>
      </c>
      <c r="E123" s="20" t="s">
        <v>15</v>
      </c>
      <c r="F123" s="14" t="s">
        <v>55</v>
      </c>
      <c r="G123" s="15" t="s">
        <v>620</v>
      </c>
      <c r="H123" s="15" t="s">
        <v>621</v>
      </c>
      <c r="I123" s="16" t="s">
        <v>68</v>
      </c>
      <c r="J123" s="17"/>
      <c r="K123" s="17"/>
      <c r="L123" s="18"/>
    </row>
    <row r="124" customFormat="false" ht="54.75" hidden="false" customHeight="true" outlineLevel="0" collapsed="false">
      <c r="A124" s="9" t="s">
        <v>622</v>
      </c>
      <c r="B124" s="10"/>
      <c r="C124" s="11" t="s">
        <v>385</v>
      </c>
      <c r="D124" s="12" t="s">
        <v>623</v>
      </c>
      <c r="E124" s="19" t="s">
        <v>17</v>
      </c>
      <c r="F124" s="14" t="s">
        <v>81</v>
      </c>
      <c r="G124" s="15" t="s">
        <v>624</v>
      </c>
      <c r="H124" s="15" t="s">
        <v>625</v>
      </c>
      <c r="I124" s="16" t="s">
        <v>626</v>
      </c>
      <c r="J124" s="17"/>
      <c r="K124" s="17"/>
      <c r="L124" s="18"/>
    </row>
  </sheetData>
  <autoFilter ref="A1:L124"/>
  <dataValidations count="2">
    <dataValidation allowBlank="true" errorStyle="stop" operator="between" showDropDown="false" showErrorMessage="false" showInputMessage="false" sqref="E2:E124" type="list">
      <formula1>"Done,Partial,To do,Blocked"</formula1>
      <formula2>0</formula2>
    </dataValidation>
    <dataValidation allowBlank="true" errorStyle="stop" operator="between" showDropDown="false" showErrorMessage="false" showInputMessage="false" sqref="F2:F124" type="list">
      <formula1>"S,M,L,XL"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36"/>
    <col collapsed="false" customWidth="true" hidden="false" outlineLevel="0" max="3" min="3" style="0" width="14"/>
    <col collapsed="false" customWidth="true" hidden="false" outlineLevel="0" max="5" min="4" style="0" width="8"/>
    <col collapsed="false" customWidth="true" hidden="false" outlineLevel="0" max="8" min="6" style="0" width="9"/>
    <col collapsed="false" customWidth="true" hidden="false" outlineLevel="0" max="9" min="9" style="0" width="12"/>
    <col collapsed="false" customWidth="true" hidden="false" outlineLevel="0" max="10" min="10" style="0" width="74"/>
  </cols>
  <sheetData>
    <row r="1" customFormat="false" ht="21.75" hidden="false" customHeight="true" outlineLevel="0" collapsed="false">
      <c r="A1" s="22" t="s">
        <v>3</v>
      </c>
      <c r="B1" s="22" t="s">
        <v>41</v>
      </c>
      <c r="C1" s="22" t="s">
        <v>42</v>
      </c>
      <c r="D1" s="22" t="s">
        <v>627</v>
      </c>
      <c r="E1" s="22" t="s">
        <v>13</v>
      </c>
      <c r="F1" s="22" t="s">
        <v>15</v>
      </c>
      <c r="G1" s="22" t="s">
        <v>17</v>
      </c>
      <c r="H1" s="22" t="s">
        <v>7</v>
      </c>
      <c r="I1" s="22" t="s">
        <v>628</v>
      </c>
      <c r="J1" s="22" t="s">
        <v>629</v>
      </c>
    </row>
    <row r="2" customFormat="false" ht="33.75" hidden="false" customHeight="true" outlineLevel="0" collapsed="false">
      <c r="A2" s="23" t="s">
        <v>50</v>
      </c>
      <c r="B2" s="24" t="s">
        <v>51</v>
      </c>
      <c r="C2" s="25" t="s">
        <v>52</v>
      </c>
      <c r="D2" s="14" t="n">
        <f aca="false">COUNTIF(WBS!$A$2:$A$124,"1."&amp;"*")-COUNTIF(WBS!$A$2:$A$124,"1.0")</f>
        <v>6</v>
      </c>
      <c r="E2" s="14" t="n">
        <f aca="false">COUNTIFS(WBS!$A$2:$A$124,"1."&amp;"*",WBS!$E$2:$E$124,"Done")</f>
        <v>0</v>
      </c>
      <c r="F2" s="14" t="n">
        <f aca="false">COUNTIFS(WBS!$A$2:$A$124,"1."&amp;"*",WBS!$E$2:$E$124,"Partial")</f>
        <v>1</v>
      </c>
      <c r="G2" s="14" t="n">
        <f aca="false">COUNTIFS(WBS!$A$2:$A$124,"1."&amp;"*",WBS!$E$2:$E$124,"To do")</f>
        <v>4</v>
      </c>
      <c r="H2" s="14" t="n">
        <f aca="false">COUNTIFS(WBS!$A$2:$A$124,"1."&amp;"*",WBS!$E$2:$E$124,"Blocked")</f>
        <v>1</v>
      </c>
      <c r="I2" s="26" t="n">
        <f aca="false">IF(D2=0,0,(E2+0.5*F2)/D2)</f>
        <v>0.0833333333333333</v>
      </c>
      <c r="J2" s="15" t="s">
        <v>630</v>
      </c>
    </row>
    <row r="3" customFormat="false" ht="33.75" hidden="false" customHeight="true" outlineLevel="0" collapsed="false">
      <c r="A3" s="23" t="s">
        <v>85</v>
      </c>
      <c r="B3" s="24" t="s">
        <v>86</v>
      </c>
      <c r="C3" s="25" t="s">
        <v>87</v>
      </c>
      <c r="D3" s="14" t="n">
        <f aca="false">COUNTIF(WBS!$A$2:$A$124,"2."&amp;"*")-COUNTIF(WBS!$A$2:$A$124,"2.0")</f>
        <v>6</v>
      </c>
      <c r="E3" s="14" t="n">
        <f aca="false">COUNTIFS(WBS!$A$2:$A$124,"2."&amp;"*",WBS!$E$2:$E$124,"Done")</f>
        <v>0</v>
      </c>
      <c r="F3" s="14" t="n">
        <f aca="false">COUNTIFS(WBS!$A$2:$A$124,"2."&amp;"*",WBS!$E$2:$E$124,"Partial")</f>
        <v>0</v>
      </c>
      <c r="G3" s="14" t="n">
        <f aca="false">COUNTIFS(WBS!$A$2:$A$124,"2."&amp;"*",WBS!$E$2:$E$124,"To do")</f>
        <v>4</v>
      </c>
      <c r="H3" s="14" t="n">
        <f aca="false">COUNTIFS(WBS!$A$2:$A$124,"2."&amp;"*",WBS!$E$2:$E$124,"Blocked")</f>
        <v>2</v>
      </c>
      <c r="I3" s="26" t="n">
        <f aca="false">IF(D3=0,0,(E3+0.5*F3)/D3)</f>
        <v>0</v>
      </c>
      <c r="J3" s="15" t="s">
        <v>631</v>
      </c>
    </row>
    <row r="4" customFormat="false" ht="33.75" hidden="false" customHeight="true" outlineLevel="0" collapsed="false">
      <c r="A4" s="23" t="s">
        <v>118</v>
      </c>
      <c r="B4" s="24" t="s">
        <v>119</v>
      </c>
      <c r="C4" s="25" t="s">
        <v>87</v>
      </c>
      <c r="D4" s="14" t="n">
        <f aca="false">COUNTIF(WBS!$A$2:$A$124,"3."&amp;"*")-COUNTIF(WBS!$A$2:$A$124,"3.0")</f>
        <v>7</v>
      </c>
      <c r="E4" s="14" t="n">
        <f aca="false">COUNTIFS(WBS!$A$2:$A$124,"3."&amp;"*",WBS!$E$2:$E$124,"Done")</f>
        <v>0</v>
      </c>
      <c r="F4" s="14" t="n">
        <f aca="false">COUNTIFS(WBS!$A$2:$A$124,"3."&amp;"*",WBS!$E$2:$E$124,"Partial")</f>
        <v>0</v>
      </c>
      <c r="G4" s="14" t="n">
        <f aca="false">COUNTIFS(WBS!$A$2:$A$124,"3."&amp;"*",WBS!$E$2:$E$124,"To do")</f>
        <v>7</v>
      </c>
      <c r="H4" s="14" t="n">
        <f aca="false">COUNTIFS(WBS!$A$2:$A$124,"3."&amp;"*",WBS!$E$2:$E$124,"Blocked")</f>
        <v>0</v>
      </c>
      <c r="I4" s="26" t="n">
        <f aca="false">IF(D4=0,0,(E4+0.5*F4)/D4)</f>
        <v>0</v>
      </c>
      <c r="J4" s="15" t="s">
        <v>632</v>
      </c>
    </row>
    <row r="5" customFormat="false" ht="33.75" hidden="false" customHeight="true" outlineLevel="0" collapsed="false">
      <c r="A5" s="23" t="s">
        <v>155</v>
      </c>
      <c r="B5" s="24" t="s">
        <v>156</v>
      </c>
      <c r="C5" s="25" t="s">
        <v>87</v>
      </c>
      <c r="D5" s="14" t="n">
        <f aca="false">COUNTIF(WBS!$A$2:$A$124,"4."&amp;"*")-COUNTIF(WBS!$A$2:$A$124,"4.0")</f>
        <v>6</v>
      </c>
      <c r="E5" s="14" t="n">
        <f aca="false">COUNTIFS(WBS!$A$2:$A$124,"4."&amp;"*",WBS!$E$2:$E$124,"Done")</f>
        <v>0</v>
      </c>
      <c r="F5" s="14" t="n">
        <f aca="false">COUNTIFS(WBS!$A$2:$A$124,"4."&amp;"*",WBS!$E$2:$E$124,"Partial")</f>
        <v>0</v>
      </c>
      <c r="G5" s="14" t="n">
        <f aca="false">COUNTIFS(WBS!$A$2:$A$124,"4."&amp;"*",WBS!$E$2:$E$124,"To do")</f>
        <v>5</v>
      </c>
      <c r="H5" s="14" t="n">
        <f aca="false">COUNTIFS(WBS!$A$2:$A$124,"4."&amp;"*",WBS!$E$2:$E$124,"Blocked")</f>
        <v>1</v>
      </c>
      <c r="I5" s="26" t="n">
        <f aca="false">IF(D5=0,0,(E5+0.5*F5)/D5)</f>
        <v>0</v>
      </c>
      <c r="J5" s="15" t="s">
        <v>633</v>
      </c>
    </row>
    <row r="6" customFormat="false" ht="33.75" hidden="false" customHeight="true" outlineLevel="0" collapsed="false">
      <c r="A6" s="23" t="s">
        <v>188</v>
      </c>
      <c r="B6" s="24" t="s">
        <v>189</v>
      </c>
      <c r="C6" s="25" t="s">
        <v>190</v>
      </c>
      <c r="D6" s="14" t="n">
        <f aca="false">COUNTIF(WBS!$A$2:$A$124,"5."&amp;"*")-COUNTIF(WBS!$A$2:$A$124,"5.0")</f>
        <v>7</v>
      </c>
      <c r="E6" s="14" t="n">
        <f aca="false">COUNTIFS(WBS!$A$2:$A$124,"5."&amp;"*",WBS!$E$2:$E$124,"Done")</f>
        <v>1</v>
      </c>
      <c r="F6" s="14" t="n">
        <f aca="false">COUNTIFS(WBS!$A$2:$A$124,"5."&amp;"*",WBS!$E$2:$E$124,"Partial")</f>
        <v>1</v>
      </c>
      <c r="G6" s="14" t="n">
        <f aca="false">COUNTIFS(WBS!$A$2:$A$124,"5."&amp;"*",WBS!$E$2:$E$124,"To do")</f>
        <v>4</v>
      </c>
      <c r="H6" s="14" t="n">
        <f aca="false">COUNTIFS(WBS!$A$2:$A$124,"5."&amp;"*",WBS!$E$2:$E$124,"Blocked")</f>
        <v>1</v>
      </c>
      <c r="I6" s="26" t="n">
        <f aca="false">IF(D6=0,0,(E6+0.5*F6)/D6)</f>
        <v>0.214285714285714</v>
      </c>
      <c r="J6" s="15" t="s">
        <v>634</v>
      </c>
    </row>
    <row r="7" customFormat="false" ht="33.75" hidden="false" customHeight="true" outlineLevel="0" collapsed="false">
      <c r="A7" s="23" t="s">
        <v>225</v>
      </c>
      <c r="B7" s="24" t="s">
        <v>226</v>
      </c>
      <c r="C7" s="25" t="s">
        <v>190</v>
      </c>
      <c r="D7" s="14" t="n">
        <f aca="false">COUNTIF(WBS!$A$2:$A$124,"6."&amp;"*")-COUNTIF(WBS!$A$2:$A$124,"6.0")</f>
        <v>6</v>
      </c>
      <c r="E7" s="14" t="n">
        <f aca="false">COUNTIFS(WBS!$A$2:$A$124,"6."&amp;"*",WBS!$E$2:$E$124,"Done")</f>
        <v>0</v>
      </c>
      <c r="F7" s="14" t="n">
        <f aca="false">COUNTIFS(WBS!$A$2:$A$124,"6."&amp;"*",WBS!$E$2:$E$124,"Partial")</f>
        <v>0</v>
      </c>
      <c r="G7" s="14" t="n">
        <f aca="false">COUNTIFS(WBS!$A$2:$A$124,"6."&amp;"*",WBS!$E$2:$E$124,"To do")</f>
        <v>4</v>
      </c>
      <c r="H7" s="14" t="n">
        <f aca="false">COUNTIFS(WBS!$A$2:$A$124,"6."&amp;"*",WBS!$E$2:$E$124,"Blocked")</f>
        <v>2</v>
      </c>
      <c r="I7" s="26" t="n">
        <f aca="false">IF(D7=0,0,(E7+0.5*F7)/D7)</f>
        <v>0</v>
      </c>
      <c r="J7" s="15" t="s">
        <v>635</v>
      </c>
    </row>
    <row r="8" customFormat="false" ht="33.75" hidden="false" customHeight="true" outlineLevel="0" collapsed="false">
      <c r="A8" s="23" t="s">
        <v>257</v>
      </c>
      <c r="B8" s="24" t="s">
        <v>258</v>
      </c>
      <c r="C8" s="25" t="s">
        <v>259</v>
      </c>
      <c r="D8" s="14" t="n">
        <f aca="false">COUNTIF(WBS!$A$2:$A$124,"7."&amp;"*")-COUNTIF(WBS!$A$2:$A$124,"7.0")</f>
        <v>9</v>
      </c>
      <c r="E8" s="14" t="n">
        <f aca="false">COUNTIFS(WBS!$A$2:$A$124,"7."&amp;"*",WBS!$E$2:$E$124,"Done")</f>
        <v>2</v>
      </c>
      <c r="F8" s="14" t="n">
        <f aca="false">COUNTIFS(WBS!$A$2:$A$124,"7."&amp;"*",WBS!$E$2:$E$124,"Partial")</f>
        <v>5</v>
      </c>
      <c r="G8" s="14" t="n">
        <f aca="false">COUNTIFS(WBS!$A$2:$A$124,"7."&amp;"*",WBS!$E$2:$E$124,"To do")</f>
        <v>1</v>
      </c>
      <c r="H8" s="14" t="n">
        <f aca="false">COUNTIFS(WBS!$A$2:$A$124,"7."&amp;"*",WBS!$E$2:$E$124,"Blocked")</f>
        <v>1</v>
      </c>
      <c r="I8" s="26" t="n">
        <f aca="false">IF(D8=0,0,(E8+0.5*F8)/D8)</f>
        <v>0.5</v>
      </c>
      <c r="J8" s="15" t="s">
        <v>636</v>
      </c>
    </row>
    <row r="9" customFormat="false" ht="33.75" hidden="false" customHeight="true" outlineLevel="0" collapsed="false">
      <c r="A9" s="23" t="s">
        <v>303</v>
      </c>
      <c r="B9" s="24" t="s">
        <v>304</v>
      </c>
      <c r="C9" s="25" t="s">
        <v>259</v>
      </c>
      <c r="D9" s="14" t="n">
        <f aca="false">COUNTIF(WBS!$A$2:$A$124,"8."&amp;"*")-COUNTIF(WBS!$A$2:$A$124,"8.0")</f>
        <v>7</v>
      </c>
      <c r="E9" s="14" t="n">
        <f aca="false">COUNTIFS(WBS!$A$2:$A$124,"8."&amp;"*",WBS!$E$2:$E$124,"Done")</f>
        <v>0</v>
      </c>
      <c r="F9" s="14" t="n">
        <f aca="false">COUNTIFS(WBS!$A$2:$A$124,"8."&amp;"*",WBS!$E$2:$E$124,"Partial")</f>
        <v>0</v>
      </c>
      <c r="G9" s="14" t="n">
        <f aca="false">COUNTIFS(WBS!$A$2:$A$124,"8."&amp;"*",WBS!$E$2:$E$124,"To do")</f>
        <v>6</v>
      </c>
      <c r="H9" s="14" t="n">
        <f aca="false">COUNTIFS(WBS!$A$2:$A$124,"8."&amp;"*",WBS!$E$2:$E$124,"Blocked")</f>
        <v>1</v>
      </c>
      <c r="I9" s="26" t="n">
        <f aca="false">IF(D9=0,0,(E9+0.5*F9)/D9)</f>
        <v>0</v>
      </c>
      <c r="J9" s="15" t="s">
        <v>637</v>
      </c>
    </row>
    <row r="10" customFormat="false" ht="33.75" hidden="false" customHeight="true" outlineLevel="0" collapsed="false">
      <c r="A10" s="23" t="s">
        <v>340</v>
      </c>
      <c r="B10" s="24" t="s">
        <v>341</v>
      </c>
      <c r="C10" s="25" t="s">
        <v>342</v>
      </c>
      <c r="D10" s="14" t="n">
        <f aca="false">COUNTIF(WBS!$A$2:$A$124,"9."&amp;"*")-COUNTIF(WBS!$A$2:$A$124,"9.0")</f>
        <v>8</v>
      </c>
      <c r="E10" s="14" t="n">
        <f aca="false">COUNTIFS(WBS!$A$2:$A$124,"9."&amp;"*",WBS!$E$2:$E$124,"Done")</f>
        <v>0</v>
      </c>
      <c r="F10" s="14" t="n">
        <f aca="false">COUNTIFS(WBS!$A$2:$A$124,"9."&amp;"*",WBS!$E$2:$E$124,"Partial")</f>
        <v>0</v>
      </c>
      <c r="G10" s="14" t="n">
        <f aca="false">COUNTIFS(WBS!$A$2:$A$124,"9."&amp;"*",WBS!$E$2:$E$124,"To do")</f>
        <v>8</v>
      </c>
      <c r="H10" s="14" t="n">
        <f aca="false">COUNTIFS(WBS!$A$2:$A$124,"9."&amp;"*",WBS!$E$2:$E$124,"Blocked")</f>
        <v>0</v>
      </c>
      <c r="I10" s="26" t="n">
        <f aca="false">IF(D10=0,0,(E10+0.5*F10)/D10)</f>
        <v>0</v>
      </c>
      <c r="J10" s="15" t="s">
        <v>638</v>
      </c>
    </row>
    <row r="11" customFormat="false" ht="33.75" hidden="false" customHeight="true" outlineLevel="0" collapsed="false">
      <c r="A11" s="23" t="s">
        <v>383</v>
      </c>
      <c r="B11" s="24" t="s">
        <v>384</v>
      </c>
      <c r="C11" s="25" t="s">
        <v>385</v>
      </c>
      <c r="D11" s="14" t="n">
        <f aca="false">COUNTIF(WBS!$A$2:$A$124,"10."&amp;"*")-COUNTIF(WBS!$A$2:$A$124,"10.0")</f>
        <v>13</v>
      </c>
      <c r="E11" s="14" t="n">
        <f aca="false">COUNTIFS(WBS!$A$2:$A$124,"10."&amp;"*",WBS!$E$2:$E$124,"Done")</f>
        <v>0</v>
      </c>
      <c r="F11" s="14" t="n">
        <f aca="false">COUNTIFS(WBS!$A$2:$A$124,"10."&amp;"*",WBS!$E$2:$E$124,"Partial")</f>
        <v>0</v>
      </c>
      <c r="G11" s="14" t="n">
        <f aca="false">COUNTIFS(WBS!$A$2:$A$124,"10."&amp;"*",WBS!$E$2:$E$124,"To do")</f>
        <v>13</v>
      </c>
      <c r="H11" s="14" t="n">
        <f aca="false">COUNTIFS(WBS!$A$2:$A$124,"10."&amp;"*",WBS!$E$2:$E$124,"Blocked")</f>
        <v>0</v>
      </c>
      <c r="I11" s="26" t="n">
        <f aca="false">IF(D11=0,0,(E11+0.5*F11)/D11)</f>
        <v>0</v>
      </c>
      <c r="J11" s="15" t="s">
        <v>639</v>
      </c>
    </row>
    <row r="12" customFormat="false" ht="33.75" hidden="false" customHeight="true" outlineLevel="0" collapsed="false">
      <c r="A12" s="23" t="s">
        <v>451</v>
      </c>
      <c r="B12" s="24" t="s">
        <v>452</v>
      </c>
      <c r="C12" s="25" t="s">
        <v>453</v>
      </c>
      <c r="D12" s="14" t="n">
        <f aca="false">COUNTIF(WBS!$A$2:$A$124,"11."&amp;"*")-COUNTIF(WBS!$A$2:$A$124,"11.0")</f>
        <v>7</v>
      </c>
      <c r="E12" s="14" t="n">
        <f aca="false">COUNTIFS(WBS!$A$2:$A$124,"11."&amp;"*",WBS!$E$2:$E$124,"Done")</f>
        <v>0</v>
      </c>
      <c r="F12" s="14" t="n">
        <f aca="false">COUNTIFS(WBS!$A$2:$A$124,"11."&amp;"*",WBS!$E$2:$E$124,"Partial")</f>
        <v>0</v>
      </c>
      <c r="G12" s="14" t="n">
        <f aca="false">COUNTIFS(WBS!$A$2:$A$124,"11."&amp;"*",WBS!$E$2:$E$124,"To do")</f>
        <v>6</v>
      </c>
      <c r="H12" s="14" t="n">
        <f aca="false">COUNTIFS(WBS!$A$2:$A$124,"11."&amp;"*",WBS!$E$2:$E$124,"Blocked")</f>
        <v>1</v>
      </c>
      <c r="I12" s="26" t="n">
        <f aca="false">IF(D12=0,0,(E12+0.5*F12)/D12)</f>
        <v>0</v>
      </c>
      <c r="J12" s="15" t="s">
        <v>640</v>
      </c>
    </row>
    <row r="13" customFormat="false" ht="33.75" hidden="false" customHeight="true" outlineLevel="0" collapsed="false">
      <c r="A13" s="23" t="s">
        <v>489</v>
      </c>
      <c r="B13" s="24" t="s">
        <v>490</v>
      </c>
      <c r="C13" s="25" t="s">
        <v>491</v>
      </c>
      <c r="D13" s="14" t="n">
        <f aca="false">COUNTIF(WBS!$A$2:$A$124,"12."&amp;"*")-COUNTIF(WBS!$A$2:$A$124,"12.0")</f>
        <v>7</v>
      </c>
      <c r="E13" s="14" t="n">
        <f aca="false">COUNTIFS(WBS!$A$2:$A$124,"12."&amp;"*",WBS!$E$2:$E$124,"Done")</f>
        <v>0</v>
      </c>
      <c r="F13" s="14" t="n">
        <f aca="false">COUNTIFS(WBS!$A$2:$A$124,"12."&amp;"*",WBS!$E$2:$E$124,"Partial")</f>
        <v>1</v>
      </c>
      <c r="G13" s="14" t="n">
        <f aca="false">COUNTIFS(WBS!$A$2:$A$124,"12."&amp;"*",WBS!$E$2:$E$124,"To do")</f>
        <v>6</v>
      </c>
      <c r="H13" s="14" t="n">
        <f aca="false">COUNTIFS(WBS!$A$2:$A$124,"12."&amp;"*",WBS!$E$2:$E$124,"Blocked")</f>
        <v>0</v>
      </c>
      <c r="I13" s="26" t="n">
        <f aca="false">IF(D13=0,0,(E13+0.5*F13)/D13)</f>
        <v>0.0714285714285714</v>
      </c>
      <c r="J13" s="15" t="s">
        <v>641</v>
      </c>
    </row>
    <row r="14" customFormat="false" ht="33.75" hidden="false" customHeight="true" outlineLevel="0" collapsed="false">
      <c r="A14" s="23" t="s">
        <v>527</v>
      </c>
      <c r="B14" s="24" t="s">
        <v>528</v>
      </c>
      <c r="C14" s="25" t="s">
        <v>529</v>
      </c>
      <c r="D14" s="14" t="n">
        <f aca="false">COUNTIF(WBS!$A$2:$A$124,"13."&amp;"*")-COUNTIF(WBS!$A$2:$A$124,"13.0")</f>
        <v>6</v>
      </c>
      <c r="E14" s="14" t="n">
        <f aca="false">COUNTIFS(WBS!$A$2:$A$124,"13."&amp;"*",WBS!$E$2:$E$124,"Done")</f>
        <v>0</v>
      </c>
      <c r="F14" s="14" t="n">
        <f aca="false">COUNTIFS(WBS!$A$2:$A$124,"13."&amp;"*",WBS!$E$2:$E$124,"Partial")</f>
        <v>0</v>
      </c>
      <c r="G14" s="14" t="n">
        <f aca="false">COUNTIFS(WBS!$A$2:$A$124,"13."&amp;"*",WBS!$E$2:$E$124,"To do")</f>
        <v>6</v>
      </c>
      <c r="H14" s="14" t="n">
        <f aca="false">COUNTIFS(WBS!$A$2:$A$124,"13."&amp;"*",WBS!$E$2:$E$124,"Blocked")</f>
        <v>0</v>
      </c>
      <c r="I14" s="26" t="n">
        <f aca="false">IF(D14=0,0,(E14+0.5*F14)/D14)</f>
        <v>0</v>
      </c>
      <c r="J14" s="15" t="s">
        <v>642</v>
      </c>
    </row>
    <row r="15" customFormat="false" ht="33.75" hidden="false" customHeight="true" outlineLevel="0" collapsed="false">
      <c r="A15" s="23" t="s">
        <v>560</v>
      </c>
      <c r="B15" s="24" t="s">
        <v>561</v>
      </c>
      <c r="C15" s="25" t="s">
        <v>259</v>
      </c>
      <c r="D15" s="14" t="n">
        <f aca="false">COUNTIF(WBS!$A$2:$A$124,"14."&amp;"*")-COUNTIF(WBS!$A$2:$A$124,"14.0")</f>
        <v>6</v>
      </c>
      <c r="E15" s="14" t="n">
        <f aca="false">COUNTIFS(WBS!$A$2:$A$124,"14."&amp;"*",WBS!$E$2:$E$124,"Done")</f>
        <v>0</v>
      </c>
      <c r="F15" s="14" t="n">
        <f aca="false">COUNTIFS(WBS!$A$2:$A$124,"14."&amp;"*",WBS!$E$2:$E$124,"Partial")</f>
        <v>0</v>
      </c>
      <c r="G15" s="14" t="n">
        <f aca="false">COUNTIFS(WBS!$A$2:$A$124,"14."&amp;"*",WBS!$E$2:$E$124,"To do")</f>
        <v>6</v>
      </c>
      <c r="H15" s="14" t="n">
        <f aca="false">COUNTIFS(WBS!$A$2:$A$124,"14."&amp;"*",WBS!$E$2:$E$124,"Blocked")</f>
        <v>0</v>
      </c>
      <c r="I15" s="26" t="n">
        <f aca="false">IF(D15=0,0,(E15+0.5*F15)/D15)</f>
        <v>0</v>
      </c>
      <c r="J15" s="15" t="s">
        <v>643</v>
      </c>
    </row>
    <row r="16" customFormat="false" ht="33.75" hidden="false" customHeight="true" outlineLevel="0" collapsed="false">
      <c r="A16" s="23" t="s">
        <v>592</v>
      </c>
      <c r="B16" s="24" t="s">
        <v>593</v>
      </c>
      <c r="C16" s="25" t="s">
        <v>385</v>
      </c>
      <c r="D16" s="14" t="n">
        <f aca="false">COUNTIF(WBS!$A$2:$A$124,"15."&amp;"*")-COUNTIF(WBS!$A$2:$A$124,"15.0")</f>
        <v>7</v>
      </c>
      <c r="E16" s="14" t="n">
        <f aca="false">COUNTIFS(WBS!$A$2:$A$124,"15."&amp;"*",WBS!$E$2:$E$124,"Done")</f>
        <v>0</v>
      </c>
      <c r="F16" s="14" t="n">
        <f aca="false">COUNTIFS(WBS!$A$2:$A$124,"15."&amp;"*",WBS!$E$2:$E$124,"Partial")</f>
        <v>1</v>
      </c>
      <c r="G16" s="14" t="n">
        <f aca="false">COUNTIFS(WBS!$A$2:$A$124,"15."&amp;"*",WBS!$E$2:$E$124,"To do")</f>
        <v>6</v>
      </c>
      <c r="H16" s="14" t="n">
        <f aca="false">COUNTIFS(WBS!$A$2:$A$124,"15."&amp;"*",WBS!$E$2:$E$124,"Blocked")</f>
        <v>0</v>
      </c>
      <c r="I16" s="26" t="n">
        <f aca="false">IF(D16=0,0,(E16+0.5*F16)/D16)</f>
        <v>0.0714285714285714</v>
      </c>
      <c r="J16" s="15" t="s">
        <v>644</v>
      </c>
    </row>
    <row r="17" customFormat="false" ht="15" hidden="false" customHeight="false" outlineLevel="0" collapsed="false">
      <c r="A17" s="27"/>
      <c r="B17" s="28" t="s">
        <v>645</v>
      </c>
      <c r="C17" s="27"/>
      <c r="D17" s="29" t="n">
        <f aca="false">SUM(D2:D16)</f>
        <v>108</v>
      </c>
      <c r="E17" s="29" t="n">
        <f aca="false">SUM(E2:E16)</f>
        <v>3</v>
      </c>
      <c r="F17" s="29" t="n">
        <f aca="false">SUM(F2:F16)</f>
        <v>9</v>
      </c>
      <c r="G17" s="29" t="n">
        <f aca="false">SUM(G2:G16)</f>
        <v>86</v>
      </c>
      <c r="H17" s="29" t="n">
        <f aca="false">SUM(H2:H16)</f>
        <v>10</v>
      </c>
      <c r="I17" s="30" t="n">
        <f aca="false">IF(D17=0,0,(E17+0.5*F17)/D17)</f>
        <v>0.0694444444444445</v>
      </c>
      <c r="J17" s="2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28"/>
    <col collapsed="false" customWidth="true" hidden="false" outlineLevel="0" max="4" min="4" style="0" width="54"/>
    <col collapsed="false" customWidth="true" hidden="false" outlineLevel="0" max="5" min="5" style="0" width="28"/>
    <col collapsed="false" customWidth="true" hidden="false" outlineLevel="0" max="6" min="6" style="0" width="72"/>
  </cols>
  <sheetData>
    <row r="1" customFormat="false" ht="21.75" hidden="false" customHeight="true" outlineLevel="0" collapsed="false">
      <c r="A1" s="31" t="s">
        <v>3</v>
      </c>
      <c r="B1" s="31" t="s">
        <v>43</v>
      </c>
      <c r="C1" s="31" t="s">
        <v>41</v>
      </c>
      <c r="D1" s="31" t="s">
        <v>646</v>
      </c>
      <c r="E1" s="31" t="s">
        <v>647</v>
      </c>
      <c r="F1" s="31" t="s">
        <v>648</v>
      </c>
    </row>
    <row r="2" customFormat="false" ht="42" hidden="false" customHeight="true" outlineLevel="0" collapsed="false">
      <c r="A2" s="32" t="s">
        <v>53</v>
      </c>
      <c r="B2" s="12" t="s">
        <v>54</v>
      </c>
      <c r="C2" s="33" t="s">
        <v>51</v>
      </c>
      <c r="D2" s="34" t="s">
        <v>58</v>
      </c>
      <c r="E2" s="15" t="s">
        <v>649</v>
      </c>
      <c r="F2" s="15" t="s">
        <v>650</v>
      </c>
    </row>
    <row r="3" customFormat="false" ht="42" hidden="false" customHeight="true" outlineLevel="0" collapsed="false">
      <c r="A3" s="32" t="s">
        <v>98</v>
      </c>
      <c r="B3" s="12" t="s">
        <v>99</v>
      </c>
      <c r="C3" s="33" t="s">
        <v>86</v>
      </c>
      <c r="D3" s="34" t="s">
        <v>651</v>
      </c>
      <c r="E3" s="15" t="s">
        <v>652</v>
      </c>
      <c r="F3" s="15" t="s">
        <v>653</v>
      </c>
    </row>
    <row r="4" customFormat="false" ht="42" hidden="false" customHeight="true" outlineLevel="0" collapsed="false">
      <c r="A4" s="32" t="s">
        <v>103</v>
      </c>
      <c r="B4" s="12" t="s">
        <v>104</v>
      </c>
      <c r="C4" s="33" t="s">
        <v>86</v>
      </c>
      <c r="D4" s="34" t="s">
        <v>654</v>
      </c>
      <c r="E4" s="15" t="s">
        <v>655</v>
      </c>
      <c r="F4" s="15" t="s">
        <v>656</v>
      </c>
    </row>
    <row r="5" customFormat="false" ht="42" hidden="false" customHeight="true" outlineLevel="0" collapsed="false">
      <c r="A5" s="32" t="s">
        <v>168</v>
      </c>
      <c r="B5" s="12" t="s">
        <v>169</v>
      </c>
      <c r="C5" s="33" t="s">
        <v>156</v>
      </c>
      <c r="D5" s="34" t="s">
        <v>657</v>
      </c>
      <c r="E5" s="15" t="s">
        <v>658</v>
      </c>
      <c r="F5" s="15" t="s">
        <v>659</v>
      </c>
    </row>
    <row r="6" customFormat="false" ht="42" hidden="false" customHeight="true" outlineLevel="0" collapsed="false">
      <c r="A6" s="32" t="s">
        <v>210</v>
      </c>
      <c r="B6" s="12" t="s">
        <v>211</v>
      </c>
      <c r="C6" s="33" t="s">
        <v>189</v>
      </c>
      <c r="D6" s="34" t="s">
        <v>214</v>
      </c>
      <c r="E6" s="15" t="s">
        <v>660</v>
      </c>
      <c r="F6" s="15" t="s">
        <v>661</v>
      </c>
    </row>
    <row r="7" customFormat="false" ht="42" hidden="false" customHeight="true" outlineLevel="0" collapsed="false">
      <c r="A7" s="32" t="s">
        <v>242</v>
      </c>
      <c r="B7" s="12" t="s">
        <v>243</v>
      </c>
      <c r="C7" s="33" t="s">
        <v>226</v>
      </c>
      <c r="D7" s="34" t="s">
        <v>246</v>
      </c>
      <c r="E7" s="15" t="s">
        <v>662</v>
      </c>
      <c r="F7" s="15" t="s">
        <v>663</v>
      </c>
    </row>
    <row r="8" customFormat="false" ht="42" hidden="false" customHeight="true" outlineLevel="0" collapsed="false">
      <c r="A8" s="32" t="s">
        <v>247</v>
      </c>
      <c r="B8" s="12" t="s">
        <v>248</v>
      </c>
      <c r="C8" s="33" t="s">
        <v>226</v>
      </c>
      <c r="D8" s="34" t="s">
        <v>251</v>
      </c>
      <c r="E8" s="15" t="s">
        <v>664</v>
      </c>
      <c r="F8" s="15" t="s">
        <v>665</v>
      </c>
    </row>
    <row r="9" customFormat="false" ht="42" hidden="false" customHeight="true" outlineLevel="0" collapsed="false">
      <c r="A9" s="32" t="s">
        <v>298</v>
      </c>
      <c r="B9" s="12" t="s">
        <v>299</v>
      </c>
      <c r="C9" s="33" t="s">
        <v>258</v>
      </c>
      <c r="D9" s="34" t="s">
        <v>302</v>
      </c>
      <c r="E9" s="15" t="s">
        <v>666</v>
      </c>
      <c r="F9" s="15" t="s">
        <v>667</v>
      </c>
    </row>
    <row r="10" customFormat="false" ht="42" hidden="false" customHeight="true" outlineLevel="0" collapsed="false">
      <c r="A10" s="32" t="s">
        <v>315</v>
      </c>
      <c r="B10" s="12" t="s">
        <v>316</v>
      </c>
      <c r="C10" s="33" t="s">
        <v>304</v>
      </c>
      <c r="D10" s="34" t="s">
        <v>668</v>
      </c>
      <c r="E10" s="15" t="s">
        <v>669</v>
      </c>
      <c r="F10" s="15" t="s">
        <v>670</v>
      </c>
    </row>
    <row r="11" customFormat="false" ht="42" hidden="false" customHeight="true" outlineLevel="0" collapsed="false">
      <c r="A11" s="32" t="s">
        <v>479</v>
      </c>
      <c r="B11" s="12" t="s">
        <v>480</v>
      </c>
      <c r="C11" s="33" t="s">
        <v>452</v>
      </c>
      <c r="D11" s="34" t="s">
        <v>671</v>
      </c>
      <c r="E11" s="15" t="s">
        <v>672</v>
      </c>
      <c r="F11" s="15" t="s">
        <v>673</v>
      </c>
    </row>
    <row r="13" customFormat="false" ht="15" hidden="false" customHeight="false" outlineLevel="0" collapsed="false">
      <c r="A13" s="4" t="s">
        <v>674</v>
      </c>
      <c r="B13" s="4" t="n">
        <f aca="false">COUNTIF(WBS!$E$2:$E$124,"Blocked")</f>
        <v>10</v>
      </c>
      <c r="C13" s="35" t="s">
        <v>675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2026-08-27T08:45:15Z</dcterms:created>
  <dc:creator>openpyxl</dc:creator>
  <dc:description/>
  <dc:language>en-IN</dc:language>
  <cp:lastModifiedBy/>
  <dcterms:modified xsi:type="dcterms:W3CDTF">2026-08-27T08:46:49Z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