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Documents\"/>
    </mc:Choice>
  </mc:AlternateContent>
  <xr:revisionPtr revIDLastSave="0" documentId="8_{CAC7A48B-E9F8-4542-88DD-D5461605DD43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Funnel" sheetId="11" state="hidden" r:id="rId1"/>
    <sheet name="FCST_Revenue" sheetId="12" state="hidden" r:id="rId2"/>
    <sheet name="ProjectTrack" sheetId="13" r:id="rId3"/>
    <sheet name="Mass Production" sheetId="18" r:id="rId4"/>
    <sheet name="Design Lost" sheetId="19" r:id="rId5"/>
    <sheet name="Sheet1" sheetId="15" state="hidden" r:id="rId6"/>
  </sheets>
  <definedNames>
    <definedName name="_xlnm._FilterDatabase" localSheetId="2" hidden="1">ProjectTrack!$A$3:$R$18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9" l="1"/>
  <c r="Q5" i="19"/>
  <c r="N5" i="18"/>
  <c r="Q5" i="18"/>
  <c r="O5" i="13"/>
  <c r="R5" i="13"/>
  <c r="O6" i="13"/>
  <c r="R6" i="13"/>
  <c r="O7" i="13"/>
  <c r="R7" i="13"/>
  <c r="O8" i="13"/>
  <c r="R8" i="13"/>
  <c r="O9" i="13"/>
  <c r="R9" i="13"/>
  <c r="O10" i="13"/>
  <c r="R10" i="13"/>
  <c r="O11" i="13"/>
  <c r="R11" i="13"/>
  <c r="O12" i="13"/>
  <c r="R12" i="13"/>
  <c r="O13" i="13"/>
  <c r="R13" i="13"/>
  <c r="O14" i="13"/>
  <c r="R14" i="13"/>
  <c r="O15" i="13"/>
  <c r="R15" i="13"/>
  <c r="O16" i="13"/>
  <c r="R16" i="13"/>
  <c r="O17" i="13"/>
  <c r="R17" i="13"/>
  <c r="O18" i="13"/>
  <c r="R18" i="13"/>
  <c r="I7" i="15"/>
  <c r="H7" i="15"/>
  <c r="G7" i="15"/>
  <c r="I6" i="15"/>
  <c r="I5" i="15"/>
  <c r="L12" i="11"/>
  <c r="AF7" i="12"/>
  <c r="AE7" i="12"/>
  <c r="AD7" i="12"/>
  <c r="AC7" i="12"/>
  <c r="AG7" i="12"/>
  <c r="AB7" i="12"/>
  <c r="V7" i="12"/>
  <c r="U7" i="12"/>
  <c r="T7" i="12"/>
  <c r="S7" i="12"/>
  <c r="W7" i="12"/>
  <c r="R7" i="12"/>
  <c r="V6" i="12"/>
  <c r="S5" i="12"/>
  <c r="T5" i="12"/>
  <c r="U5" i="12"/>
  <c r="V5" i="12"/>
  <c r="L10" i="11"/>
  <c r="L9" i="11"/>
  <c r="AF11" i="12"/>
  <c r="AE11" i="12"/>
  <c r="AD11" i="12"/>
  <c r="AC11" i="12"/>
  <c r="AB11" i="12"/>
  <c r="V11" i="12"/>
  <c r="U11" i="12"/>
  <c r="T11" i="12"/>
  <c r="S11" i="12"/>
  <c r="R11" i="12"/>
  <c r="AF10" i="12"/>
  <c r="AE10" i="12"/>
  <c r="AD10" i="12"/>
  <c r="AC10" i="12"/>
  <c r="AG10" i="12"/>
  <c r="AB10" i="12"/>
  <c r="V10" i="12"/>
  <c r="U10" i="12"/>
  <c r="T10" i="12"/>
  <c r="S10" i="12"/>
  <c r="R10" i="12"/>
  <c r="AF9" i="12"/>
  <c r="AE9" i="12"/>
  <c r="AD9" i="12"/>
  <c r="AC9" i="12"/>
  <c r="AG9" i="12"/>
  <c r="AB9" i="12"/>
  <c r="V9" i="12"/>
  <c r="U9" i="12"/>
  <c r="T9" i="12"/>
  <c r="S9" i="12"/>
  <c r="W9" i="12"/>
  <c r="R9" i="12"/>
  <c r="AF8" i="12"/>
  <c r="AE8" i="12"/>
  <c r="AD8" i="12"/>
  <c r="AC8" i="12"/>
  <c r="AB8" i="12"/>
  <c r="V8" i="12"/>
  <c r="U8" i="12"/>
  <c r="T8" i="12"/>
  <c r="S8" i="12"/>
  <c r="R8" i="12"/>
  <c r="AF15" i="12"/>
  <c r="AE15" i="12"/>
  <c r="AD15" i="12"/>
  <c r="AC15" i="12"/>
  <c r="AG15" i="12"/>
  <c r="AB15" i="12"/>
  <c r="V15" i="12"/>
  <c r="U15" i="12"/>
  <c r="T15" i="12"/>
  <c r="S15" i="12"/>
  <c r="W15" i="12"/>
  <c r="R15" i="12"/>
  <c r="AF14" i="12"/>
  <c r="AE14" i="12"/>
  <c r="AD14" i="12"/>
  <c r="AC14" i="12"/>
  <c r="AB14" i="12"/>
  <c r="V14" i="12"/>
  <c r="U14" i="12"/>
  <c r="T14" i="12"/>
  <c r="S14" i="12"/>
  <c r="R14" i="12"/>
  <c r="AF13" i="12"/>
  <c r="AE13" i="12"/>
  <c r="AD13" i="12"/>
  <c r="AC13" i="12"/>
  <c r="AB13" i="12"/>
  <c r="V13" i="12"/>
  <c r="U13" i="12"/>
  <c r="T13" i="12"/>
  <c r="S13" i="12"/>
  <c r="R13" i="12"/>
  <c r="AF12" i="12"/>
  <c r="AE12" i="12"/>
  <c r="AD12" i="12"/>
  <c r="AC12" i="12"/>
  <c r="AB12" i="12"/>
  <c r="V12" i="12"/>
  <c r="U12" i="12"/>
  <c r="T12" i="12"/>
  <c r="S12" i="12"/>
  <c r="W12" i="12"/>
  <c r="R12" i="12"/>
  <c r="V19" i="12"/>
  <c r="U19" i="12"/>
  <c r="T19" i="12"/>
  <c r="S19" i="12"/>
  <c r="V18" i="12"/>
  <c r="U18" i="12"/>
  <c r="T18" i="12"/>
  <c r="S18" i="12"/>
  <c r="V17" i="12"/>
  <c r="U17" i="12"/>
  <c r="T17" i="12"/>
  <c r="S17" i="12"/>
  <c r="V16" i="12"/>
  <c r="U16" i="12"/>
  <c r="T16" i="12"/>
  <c r="S16" i="12"/>
  <c r="AF19" i="12"/>
  <c r="AE19" i="12"/>
  <c r="AD19" i="12"/>
  <c r="AC19" i="12"/>
  <c r="AB19" i="12"/>
  <c r="R19" i="12"/>
  <c r="AF18" i="12"/>
  <c r="AE18" i="12"/>
  <c r="AD18" i="12"/>
  <c r="AC18" i="12"/>
  <c r="AB18" i="12"/>
  <c r="R18" i="12"/>
  <c r="AF17" i="12"/>
  <c r="AE17" i="12"/>
  <c r="AD17" i="12"/>
  <c r="AC17" i="12"/>
  <c r="AB17" i="12"/>
  <c r="R17" i="12"/>
  <c r="AF16" i="12"/>
  <c r="AE16" i="12"/>
  <c r="AD16" i="12"/>
  <c r="AC16" i="12"/>
  <c r="AB16" i="12"/>
  <c r="R16" i="12"/>
  <c r="R5" i="12"/>
  <c r="AB5" i="12"/>
  <c r="AG19" i="12"/>
  <c r="AG14" i="12"/>
  <c r="W13" i="12"/>
  <c r="W11" i="12"/>
  <c r="AG8" i="12"/>
  <c r="W14" i="12"/>
  <c r="AG11" i="12"/>
  <c r="AG12" i="12"/>
  <c r="W8" i="12"/>
  <c r="W10" i="12"/>
  <c r="W19" i="12"/>
  <c r="AG13" i="12"/>
  <c r="AG17" i="12"/>
  <c r="W16" i="12"/>
  <c r="AG18" i="12"/>
  <c r="AF5" i="12"/>
  <c r="AE5" i="12"/>
  <c r="AC5" i="12"/>
  <c r="AD5" i="12"/>
  <c r="AG16" i="12"/>
  <c r="W17" i="12"/>
  <c r="W18" i="12"/>
  <c r="W5" i="12"/>
  <c r="AG5" i="12"/>
  <c r="T22" i="12"/>
  <c r="S22" i="12"/>
  <c r="R22" i="12"/>
  <c r="AC21" i="12"/>
  <c r="R6" i="12"/>
  <c r="AB6" i="12"/>
  <c r="U22" i="12"/>
  <c r="AD21" i="12"/>
  <c r="AE21" i="12"/>
  <c r="R21" i="12"/>
  <c r="AC22" i="12"/>
  <c r="V22" i="12"/>
  <c r="AF21" i="12"/>
  <c r="S21" i="12"/>
  <c r="AD22" i="12"/>
  <c r="AF22" i="12"/>
  <c r="AE22" i="12"/>
  <c r="V21" i="12"/>
  <c r="U21" i="12"/>
  <c r="T21" i="12"/>
  <c r="AG21" i="12"/>
  <c r="W21" i="12"/>
  <c r="W22" i="12"/>
  <c r="AG22" i="12"/>
  <c r="AF6" i="12"/>
  <c r="AE6" i="12"/>
  <c r="AD6" i="12"/>
  <c r="AC6" i="12"/>
  <c r="U6" i="12"/>
  <c r="T6" i="12"/>
  <c r="S6" i="12"/>
  <c r="AF20" i="12"/>
  <c r="AE20" i="12"/>
  <c r="U20" i="12"/>
  <c r="S20" i="12"/>
  <c r="T20" i="12"/>
  <c r="V20" i="12"/>
  <c r="W6" i="12"/>
  <c r="AG6" i="12"/>
  <c r="R20" i="12"/>
  <c r="R24" i="12"/>
  <c r="W20" i="12"/>
  <c r="W24" i="12"/>
  <c r="AD20" i="12"/>
  <c r="AB20" i="12"/>
  <c r="AC20" i="12"/>
  <c r="AG20" i="12"/>
  <c r="AG23" i="12"/>
  <c r="AG24" i="12"/>
  <c r="AB22" i="12"/>
  <c r="AB21" i="12"/>
  <c r="AB23" i="12"/>
  <c r="AB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Mason</author>
    <author>James Park</author>
  </authors>
  <commentList>
    <comment ref="E3" authorId="0" shapeId="0" xr:uid="{AAA2FAC7-6D4F-4557-85B6-A348932A03D2}">
      <text>
        <r>
          <rPr>
            <b/>
            <sz val="9"/>
            <color indexed="81"/>
            <rFont val="Tahoma"/>
            <family val="2"/>
          </rPr>
          <t>Side Mirror
Head Lamp
Rear Lamp
Matrix Beam
Inverter Power Train
ICCU
OBC</t>
        </r>
      </text>
    </comment>
    <comment ref="F3" authorId="1" shapeId="0" xr:uid="{811DC725-EA6D-4614-81A2-859C6B09B325}">
      <text>
        <r>
          <rPr>
            <b/>
            <sz val="9"/>
            <color indexed="81"/>
            <rFont val="Tahoma"/>
            <family val="2"/>
          </rPr>
          <t xml:space="preserve">Lighting
Infortainment
Isolation
Gate Driver
eFuse
OPD
</t>
        </r>
      </text>
    </comment>
    <comment ref="H3" authorId="1" shapeId="0" xr:uid="{6A2FA71D-C7DB-436A-85C7-E8F5249C1793}">
      <text>
        <r>
          <rPr>
            <b/>
            <sz val="9"/>
            <color indexed="81"/>
            <rFont val="Tahoma"/>
            <family val="2"/>
          </rPr>
          <t xml:space="preserve">M/P
D-WIN
D-IN
Sample
Promotion
</t>
        </r>
      </text>
    </comment>
    <comment ref="J3" authorId="1" shapeId="0" xr:uid="{170BE73A-512A-431B-8FD3-4A9F90BE81CC}">
      <text>
        <r>
          <rPr>
            <b/>
            <sz val="9"/>
            <color indexed="81"/>
            <rFont val="Tahoma"/>
            <family val="2"/>
          </rPr>
          <t xml:space="preserve">Input total estimated annual volume of the forecast. (If 100Kset/yr and 2pcs are designed, total EAU is 200kpcs
</t>
        </r>
      </text>
    </comment>
    <comment ref="M3" authorId="1" shapeId="0" xr:uid="{ED1BABFC-9CB2-4699-AD96-1391257C9921}">
      <text>
        <r>
          <rPr>
            <b/>
            <sz val="9"/>
            <color indexed="81"/>
            <rFont val="Tahoma"/>
            <family val="2"/>
          </rPr>
          <t>Input only for distribtuion business
(If direct customer, please add the price at the "Disty Cost".</t>
        </r>
      </text>
    </comment>
    <comment ref="N3" authorId="1" shapeId="0" xr:uid="{A94A313B-7F77-42B6-B3F0-56081C535141}">
      <text>
        <r>
          <rPr>
            <b/>
            <sz val="9"/>
            <color indexed="81"/>
            <rFont val="Tahoma"/>
            <family val="2"/>
          </rPr>
          <t>"1" – Forecast has been added to another sheet.
"0" – Forecast/plan has not been updated in another sheet.</t>
        </r>
      </text>
    </comment>
    <comment ref="L5" authorId="1" shapeId="0" xr:uid="{AA8B88A7-D632-414D-8B4E-BA9986A0E2C8}">
      <text>
        <r>
          <rPr>
            <b/>
            <sz val="9"/>
            <color indexed="81"/>
            <rFont val="Tahoma"/>
            <family val="2"/>
          </rPr>
          <t xml:space="preserve">Price: 585KRW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Park</author>
  </authors>
  <commentList>
    <comment ref="F3" authorId="0" shapeId="0" xr:uid="{ECFDF6E4-18D6-40C9-A4B1-A563E87699FF}">
      <text>
        <r>
          <rPr>
            <b/>
            <sz val="9"/>
            <color indexed="81"/>
            <rFont val="Tahoma"/>
            <family val="2"/>
          </rPr>
          <t xml:space="preserve">Lighting
Infotainment
Isolation
Gate Driver
eFuse
OPD
</t>
        </r>
      </text>
    </comment>
    <comment ref="H3" authorId="0" shapeId="0" xr:uid="{067FD8C4-5794-4598-B623-2FFB157E91D7}">
      <text>
        <r>
          <rPr>
            <b/>
            <sz val="9"/>
            <color indexed="81"/>
            <rFont val="Tahoma"/>
            <family val="2"/>
          </rPr>
          <t xml:space="preserve">M/P
D-WIN
D-IN
Sample
Promotion
</t>
        </r>
      </text>
    </comment>
    <comment ref="J3" authorId="0" shapeId="0" xr:uid="{DA69AB71-F0F7-4F34-8B13-02BB73B29B6F}">
      <text>
        <r>
          <rPr>
            <b/>
            <sz val="9"/>
            <color indexed="81"/>
            <rFont val="Tahoma"/>
            <family val="2"/>
          </rPr>
          <t xml:space="preserve">Input total estimated annual volume of the forecast. (If 100Kset/yr and 2pcs are design, total EAU is 200kpcs
</t>
        </r>
      </text>
    </comment>
    <comment ref="M3" authorId="0" shapeId="0" xr:uid="{A8E9FBCB-6303-4F6A-98BA-4210C04A8943}">
      <text>
        <r>
          <rPr>
            <b/>
            <sz val="9"/>
            <color indexed="81"/>
            <rFont val="Tahoma"/>
            <family val="2"/>
          </rPr>
          <t>Input only for distribution business
(If direct customer, please add the price at the "Disty Cost".</t>
        </r>
      </text>
    </comment>
    <comment ref="L5" authorId="0" shapeId="0" xr:uid="{5B2361FD-9DD0-4CCC-8FC0-353B9AF6D764}">
      <text>
        <r>
          <rPr>
            <b/>
            <sz val="9"/>
            <color indexed="81"/>
            <rFont val="Tahoma"/>
            <family val="2"/>
          </rPr>
          <t xml:space="preserve">Price: 585KRW
</t>
        </r>
      </text>
    </comment>
    <comment ref="L6" authorId="0" shapeId="0" xr:uid="{593B2C9F-0BAD-4112-8374-56A500B807A2}">
      <text>
        <r>
          <rPr>
            <b/>
            <sz val="9"/>
            <color indexed="81"/>
            <rFont val="Tahoma"/>
            <family val="2"/>
          </rPr>
          <t xml:space="preserve">Price: 585KRW
</t>
        </r>
      </text>
    </comment>
    <comment ref="L7" authorId="0" shapeId="0" xr:uid="{2D9FE835-9BC8-42AB-B261-388524A7DBE3}">
      <text>
        <r>
          <rPr>
            <b/>
            <sz val="9"/>
            <color indexed="81"/>
            <rFont val="Tahoma"/>
            <family val="2"/>
          </rPr>
          <t xml:space="preserve">Price: 585KRW
</t>
        </r>
      </text>
    </comment>
  </commentList>
</comments>
</file>

<file path=xl/sharedStrings.xml><?xml version="1.0" encoding="utf-8"?>
<sst xmlns="http://schemas.openxmlformats.org/spreadsheetml/2006/main" count="450" uniqueCount="168">
  <si>
    <t>Funnel Update</t>
  </si>
  <si>
    <t xml:space="preserve">As of </t>
  </si>
  <si>
    <t>Region</t>
  </si>
  <si>
    <t>Customer</t>
  </si>
  <si>
    <t>End
Customer</t>
  </si>
  <si>
    <t>Project Name</t>
  </si>
  <si>
    <t>Application</t>
  </si>
  <si>
    <t>Product Line</t>
  </si>
  <si>
    <t>Part#</t>
  </si>
  <si>
    <t>Design Status</t>
  </si>
  <si>
    <t>M/P</t>
  </si>
  <si>
    <t>EAU
[Kpcs]</t>
  </si>
  <si>
    <t>Unit  /Set</t>
  </si>
  <si>
    <t>Disty Cost
(ASP)</t>
  </si>
  <si>
    <t>Resale
(ASP)</t>
  </si>
  <si>
    <t>FCST</t>
  </si>
  <si>
    <t>Comeptitor 
Part#</t>
  </si>
  <si>
    <t>Pjt. Status/Note</t>
  </si>
  <si>
    <t>Next Action To DO</t>
  </si>
  <si>
    <t>KR</t>
  </si>
  <si>
    <t>MOBIS</t>
  </si>
  <si>
    <t>Hyundai/Kia</t>
  </si>
  <si>
    <t>Tail Lamp</t>
  </si>
  <si>
    <t>Rear Lamp</t>
  </si>
  <si>
    <t>Lighting</t>
  </si>
  <si>
    <t>ID801</t>
  </si>
  <si>
    <t>Dec'24</t>
  </si>
  <si>
    <t>BD83740
NSL21610</t>
  </si>
  <si>
    <t>DWIN for TK1, DIN for NX5(Tucson)</t>
  </si>
  <si>
    <t>NX5 SoP: Sop'26</t>
  </si>
  <si>
    <t>Head Lamp</t>
  </si>
  <si>
    <t>IP901</t>
  </si>
  <si>
    <t>D-IN</t>
  </si>
  <si>
    <t>Nov'26</t>
  </si>
  <si>
    <t>TPS92682</t>
  </si>
  <si>
    <t>Board reliability done by Jun'25</t>
  </si>
  <si>
    <t>DL3 FL SoP: Nov'26</t>
  </si>
  <si>
    <t>ID802</t>
  </si>
  <si>
    <t>Sample</t>
  </si>
  <si>
    <t>Sep'27</t>
  </si>
  <si>
    <t>TPS92520-Q1</t>
  </si>
  <si>
    <t>ID802C ES: Oct25'25</t>
  </si>
  <si>
    <t>Design Review: Jul'25, PPAP: Oct'26</t>
  </si>
  <si>
    <t>Matrix Beam</t>
  </si>
  <si>
    <t>ID803</t>
  </si>
  <si>
    <t>May'27</t>
  </si>
  <si>
    <t>TPS92664-Q1</t>
  </si>
  <si>
    <t>ES: May'25</t>
  </si>
  <si>
    <t>2nd NRE after ES by Jul'25</t>
  </si>
  <si>
    <t>IGD</t>
  </si>
  <si>
    <t>Inverter Power Train</t>
  </si>
  <si>
    <t>ID501</t>
  </si>
  <si>
    <t>May'28</t>
  </si>
  <si>
    <t>BM60066</t>
  </si>
  <si>
    <t>ES:Nov'25</t>
  </si>
  <si>
    <t>1st NRE by Apr'25</t>
  </si>
  <si>
    <t>ID504</t>
  </si>
  <si>
    <t>Dec'29</t>
  </si>
  <si>
    <t>TBD</t>
  </si>
  <si>
    <t>ES: Jul'27</t>
  </si>
  <si>
    <t>ID511</t>
  </si>
  <si>
    <t xml:space="preserve">No Flyback version of ID501 </t>
  </si>
  <si>
    <t>HKMC and Mobis Spec review meeting in May in US</t>
  </si>
  <si>
    <t>EV5401</t>
  </si>
  <si>
    <t>Sep'26</t>
  </si>
  <si>
    <t>PPAP by Sep'25</t>
  </si>
  <si>
    <t>New car assign</t>
  </si>
  <si>
    <t>FCST/Revenue Update</t>
  </si>
  <si>
    <t>CY25 FCST [Kpcs]</t>
  </si>
  <si>
    <t>CY25 Revenue [K$]</t>
  </si>
  <si>
    <t>CY26 FCST [Kpcs]</t>
  </si>
  <si>
    <t>CY26 Revenue [K$]</t>
  </si>
  <si>
    <t>Remarks</t>
  </si>
  <si>
    <t>Q1</t>
  </si>
  <si>
    <t>Q2</t>
  </si>
  <si>
    <t>Q3</t>
  </si>
  <si>
    <t>Q4</t>
  </si>
  <si>
    <t>TTL</t>
  </si>
  <si>
    <t>Mobis</t>
  </si>
  <si>
    <t>TK1</t>
  </si>
  <si>
    <t>Updated TK1 fcst</t>
  </si>
  <si>
    <t>NX5</t>
  </si>
  <si>
    <t>NX5 Shipment by Dec'25 for Y2026 MP</t>
  </si>
  <si>
    <t>DL3 FL</t>
  </si>
  <si>
    <t>DL3 1st Car SoP: Nov'25</t>
  </si>
  <si>
    <t>ID803 2nd NRE</t>
  </si>
  <si>
    <t>NRE</t>
  </si>
  <si>
    <t>N/A</t>
  </si>
  <si>
    <t>2nd NRE: $126K, 3rd NRE: $168K</t>
  </si>
  <si>
    <t>ID803 EVB</t>
  </si>
  <si>
    <t>ID501 1st NRE</t>
  </si>
  <si>
    <t>1st NRE: Apr'25, 2nd NRE: Dec'25
3rd NRE: Jun'27</t>
  </si>
  <si>
    <t>ID511 1st NRE</t>
  </si>
  <si>
    <t>Boost for AVN
1st NRE</t>
  </si>
  <si>
    <t>AVN</t>
  </si>
  <si>
    <t>Infotainment</t>
  </si>
  <si>
    <t>1st NRE: Dec'25, 2nd NRE: Sep'26</t>
  </si>
  <si>
    <t>Annual license(7 seats)</t>
  </si>
  <si>
    <t>ID802, ID803 Design tool</t>
  </si>
  <si>
    <t>ID501 license (3 seats)</t>
  </si>
  <si>
    <t>ID501 Design tool</t>
  </si>
  <si>
    <t>Korea Region</t>
  </si>
  <si>
    <t>Europe Region</t>
  </si>
  <si>
    <t>Taiwan Region</t>
  </si>
  <si>
    <t>Japan Region</t>
  </si>
  <si>
    <t>Elevation Micro Total</t>
  </si>
  <si>
    <t>Competitor 
Part#</t>
  </si>
  <si>
    <t>LED Lighting</t>
  </si>
  <si>
    <t>Mar'27</t>
  </si>
  <si>
    <t>Promotion</t>
  </si>
  <si>
    <t>EU</t>
  </si>
  <si>
    <t>Dec'26</t>
  </si>
  <si>
    <t>Feb'27</t>
  </si>
  <si>
    <t>Oct'26</t>
  </si>
  <si>
    <t>Ford</t>
  </si>
  <si>
    <t>Jan'27</t>
  </si>
  <si>
    <t>GM</t>
  </si>
  <si>
    <t>CY26</t>
  </si>
  <si>
    <t>Projection</t>
  </si>
  <si>
    <t>Stretch</t>
  </si>
  <si>
    <t>Deviation</t>
  </si>
  <si>
    <t>Lost</t>
  </si>
  <si>
    <t>AX01</t>
  </si>
  <si>
    <t>ADAS</t>
  </si>
  <si>
    <t>AX20</t>
  </si>
  <si>
    <t>SLM</t>
  </si>
  <si>
    <t>Flextron</t>
  </si>
  <si>
    <t>AX10</t>
  </si>
  <si>
    <t>Confidence</t>
  </si>
  <si>
    <t>Level</t>
  </si>
  <si>
    <t>Evaluation</t>
  </si>
  <si>
    <t>Adjusted Revenue</t>
  </si>
  <si>
    <t>Sales Revenue</t>
  </si>
  <si>
    <t>Comments</t>
  </si>
  <si>
    <t>Powertrain</t>
  </si>
  <si>
    <t>SerDes</t>
  </si>
  <si>
    <t>Lamp</t>
  </si>
  <si>
    <t>Mass Production</t>
  </si>
  <si>
    <t>Design Win</t>
  </si>
  <si>
    <t>Design In</t>
  </si>
  <si>
    <t>June'27</t>
  </si>
  <si>
    <t>Titan</t>
  </si>
  <si>
    <t>Zeus</t>
  </si>
  <si>
    <t>Hercules</t>
  </si>
  <si>
    <t>Aphrodite</t>
  </si>
  <si>
    <t>Hermes</t>
  </si>
  <si>
    <t>Poseidon</t>
  </si>
  <si>
    <t>Apollo</t>
  </si>
  <si>
    <t>Korea</t>
  </si>
  <si>
    <t>Taiwan</t>
  </si>
  <si>
    <t>North America</t>
  </si>
  <si>
    <t>Japan</t>
  </si>
  <si>
    <t>Toyoda</t>
  </si>
  <si>
    <t>Denzo</t>
  </si>
  <si>
    <t>ODE</t>
  </si>
  <si>
    <t>BMWi</t>
  </si>
  <si>
    <t>Hugo</t>
  </si>
  <si>
    <t>Dresden</t>
  </si>
  <si>
    <t>Foxc</t>
  </si>
  <si>
    <t>Forde</t>
  </si>
  <si>
    <t>Montana</t>
  </si>
  <si>
    <t>Yellowstone</t>
  </si>
  <si>
    <t>Project Tracking</t>
  </si>
  <si>
    <t>Stage</t>
  </si>
  <si>
    <t>PVT</t>
  </si>
  <si>
    <t>EVT</t>
  </si>
  <si>
    <t>DVT</t>
  </si>
  <si>
    <t>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</si>
</sst>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_-;_-@_-"/>
    <numFmt numFmtId="165" formatCode="&quot;$&quot;#,##0.00"/>
    <numFmt numFmtId="166" formatCode="#,##0.0"/>
    <numFmt numFmtId="167" formatCode="&quot;$&quot;#,##0.0000"/>
    <numFmt numFmtId="168" formatCode="_(* #,##0_);_(* \(#,##0\);_(* &quot;-&quot;??_);_(@_)"/>
    <numFmt numFmtId="169" formatCode="&quot;$&quot;#,##0.000"/>
    <numFmt numFmtId="170" formatCode="&quot;$&quot;#,##0"/>
  </numFmts>
  <fonts count="31" x14ac:knownFonts="1">
    <font>
      <sz val="10"/>
      <color rgb="FF000000"/>
      <name val="Malgun Gothic"/>
      <family val="2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Malgun Gothic"/>
      <family val="2"/>
      <charset val="129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Malgun Gothic"/>
      <family val="2"/>
      <charset val="129"/>
    </font>
    <font>
      <sz val="11"/>
      <name val="Calibri"/>
      <family val="2"/>
      <scheme val="minor"/>
    </font>
    <font>
      <sz val="18"/>
      <name val="Arial"/>
      <family val="2"/>
    </font>
    <font>
      <b/>
      <sz val="15"/>
      <color rgb="FFFFFFFF"/>
      <name val="Aptos Display"/>
      <family val="2"/>
    </font>
    <font>
      <b/>
      <sz val="15"/>
      <color rgb="FF000000"/>
      <name val="Aptos Display"/>
      <family val="2"/>
    </font>
    <font>
      <sz val="15"/>
      <color rgb="FF000000"/>
      <name val="Aptos Display"/>
      <family val="2"/>
    </font>
    <font>
      <sz val="10"/>
      <color theme="1"/>
      <name val="Arial Nova Cond"/>
      <family val="2"/>
    </font>
    <font>
      <sz val="10"/>
      <name val="Arial Nova Cond"/>
      <family val="2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895D4"/>
        <bgColor indexed="64"/>
      </patternFill>
    </fill>
    <fill>
      <patternFill patternType="solid">
        <fgColor rgb="FFCFDDEF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237">
    <xf numFmtId="0" fontId="0" fillId="0" borderId="0" xfId="0" applyAlignment="1">
      <alignment horizontal="left" vertical="center" wrapText="1"/>
    </xf>
    <xf numFmtId="0" fontId="8" fillId="0" borderId="0" xfId="0" applyFont="1">
      <alignment vertical="center"/>
    </xf>
    <xf numFmtId="164" fontId="9" fillId="0" borderId="0" xfId="1" quotePrefix="1" applyFont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3" fillId="0" borderId="0" xfId="0" applyFont="1">
      <alignment vertical="center"/>
    </xf>
    <xf numFmtId="165" fontId="11" fillId="0" borderId="0" xfId="0" applyNumberFormat="1" applyFont="1">
      <alignment vertical="center"/>
    </xf>
    <xf numFmtId="165" fontId="0" fillId="0" borderId="0" xfId="0" applyNumberFormat="1" applyAlignment="1">
      <alignment horizontal="left" vertical="center" wrapText="1"/>
    </xf>
    <xf numFmtId="165" fontId="9" fillId="0" borderId="0" xfId="1" quotePrefix="1" applyNumberFormat="1" applyFont="1" applyBorder="1" applyAlignment="1">
      <alignment horizontal="center" vertical="center"/>
    </xf>
    <xf numFmtId="4" fontId="11" fillId="0" borderId="0" xfId="0" applyNumberFormat="1" applyFont="1">
      <alignment vertical="center"/>
    </xf>
    <xf numFmtId="4" fontId="0" fillId="0" borderId="0" xfId="0" applyNumberFormat="1" applyAlignment="1">
      <alignment horizontal="left" vertical="center" wrapText="1"/>
    </xf>
    <xf numFmtId="4" fontId="9" fillId="0" borderId="0" xfId="1" quotePrefix="1" applyNumberFormat="1" applyFont="1" applyBorder="1" applyAlignment="1">
      <alignment horizontal="center" vertical="center"/>
    </xf>
    <xf numFmtId="4" fontId="13" fillId="4" borderId="3" xfId="1" quotePrefix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164" fontId="9" fillId="0" borderId="0" xfId="1" quotePrefix="1" applyFont="1" applyBorder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164" fontId="19" fillId="0" borderId="0" xfId="1" quotePrefix="1" applyFont="1" applyBorder="1" applyAlignment="1">
      <alignment horizontal="center" vertical="center"/>
    </xf>
    <xf numFmtId="165" fontId="19" fillId="0" borderId="0" xfId="1" quotePrefix="1" applyNumberFormat="1" applyFont="1" applyBorder="1" applyAlignment="1">
      <alignment horizontal="center" vertical="center"/>
    </xf>
    <xf numFmtId="4" fontId="19" fillId="0" borderId="0" xfId="1" quotePrefix="1" applyNumberFormat="1" applyFont="1" applyBorder="1" applyAlignment="1">
      <alignment horizontal="center" vertical="center"/>
    </xf>
    <xf numFmtId="164" fontId="19" fillId="0" borderId="0" xfId="1" quotePrefix="1" applyFont="1" applyBorder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7" fontId="22" fillId="0" borderId="1" xfId="1" quotePrefix="1" applyNumberFormat="1" applyFont="1" applyBorder="1" applyAlignment="1">
      <alignment horizontal="center" vertical="center"/>
    </xf>
    <xf numFmtId="164" fontId="22" fillId="0" borderId="1" xfId="1" quotePrefix="1" applyFont="1" applyBorder="1" applyAlignment="1">
      <alignment horizontal="center" vertical="center"/>
    </xf>
    <xf numFmtId="166" fontId="11" fillId="0" borderId="0" xfId="2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6" fontId="0" fillId="0" borderId="0" xfId="2" applyNumberFormat="1" applyFont="1" applyAlignment="1">
      <alignment horizontal="right" vertical="center" wrapText="1"/>
    </xf>
    <xf numFmtId="166" fontId="0" fillId="0" borderId="0" xfId="0" applyNumberFormat="1" applyAlignment="1">
      <alignment horizontal="right" vertical="center" wrapText="1"/>
    </xf>
    <xf numFmtId="166" fontId="12" fillId="2" borderId="2" xfId="1" applyNumberFormat="1" applyFont="1" applyFill="1" applyBorder="1" applyAlignment="1">
      <alignment horizontal="center" vertical="center"/>
    </xf>
    <xf numFmtId="166" fontId="12" fillId="2" borderId="7" xfId="2" applyNumberFormat="1" applyFont="1" applyFill="1" applyBorder="1" applyAlignment="1">
      <alignment horizontal="center" vertical="center"/>
    </xf>
    <xf numFmtId="166" fontId="12" fillId="2" borderId="1" xfId="2" applyNumberFormat="1" applyFont="1" applyFill="1" applyBorder="1" applyAlignment="1">
      <alignment horizontal="center" vertical="center"/>
    </xf>
    <xf numFmtId="166" fontId="14" fillId="2" borderId="1" xfId="1" applyNumberFormat="1" applyFont="1" applyFill="1" applyBorder="1" applyAlignment="1">
      <alignment horizontal="center" vertical="center"/>
    </xf>
    <xf numFmtId="166" fontId="12" fillId="2" borderId="1" xfId="1" applyNumberFormat="1" applyFont="1" applyFill="1" applyBorder="1" applyAlignment="1">
      <alignment horizontal="center" vertical="center"/>
    </xf>
    <xf numFmtId="166" fontId="14" fillId="2" borderId="8" xfId="1" applyNumberFormat="1" applyFont="1" applyFill="1" applyBorder="1" applyAlignment="1">
      <alignment horizontal="center" vertical="center"/>
    </xf>
    <xf numFmtId="166" fontId="12" fillId="5" borderId="7" xfId="1" applyNumberFormat="1" applyFont="1" applyFill="1" applyBorder="1" applyAlignment="1">
      <alignment horizontal="center" vertical="center"/>
    </xf>
    <xf numFmtId="166" fontId="12" fillId="5" borderId="1" xfId="1" applyNumberFormat="1" applyFont="1" applyFill="1" applyBorder="1" applyAlignment="1">
      <alignment horizontal="center" vertical="center"/>
    </xf>
    <xf numFmtId="166" fontId="14" fillId="5" borderId="1" xfId="1" applyNumberFormat="1" applyFont="1" applyFill="1" applyBorder="1" applyAlignment="1">
      <alignment horizontal="center" vertical="center"/>
    </xf>
    <xf numFmtId="166" fontId="14" fillId="5" borderId="8" xfId="1" applyNumberFormat="1" applyFont="1" applyFill="1" applyBorder="1" applyAlignment="1">
      <alignment horizontal="center" vertical="center"/>
    </xf>
    <xf numFmtId="166" fontId="13" fillId="4" borderId="7" xfId="2" applyNumberFormat="1" applyFont="1" applyFill="1" applyBorder="1" applyAlignment="1">
      <alignment horizontal="right" vertical="center"/>
    </xf>
    <xf numFmtId="166" fontId="13" fillId="4" borderId="1" xfId="2" applyNumberFormat="1" applyFont="1" applyFill="1" applyBorder="1" applyAlignment="1">
      <alignment horizontal="right" vertical="center"/>
    </xf>
    <xf numFmtId="166" fontId="13" fillId="3" borderId="1" xfId="1" applyNumberFormat="1" applyFont="1" applyFill="1" applyBorder="1" applyAlignment="1">
      <alignment horizontal="right" vertical="center"/>
    </xf>
    <xf numFmtId="166" fontId="13" fillId="4" borderId="1" xfId="1" applyNumberFormat="1" applyFont="1" applyFill="1" applyBorder="1" applyAlignment="1">
      <alignment horizontal="right" vertical="center"/>
    </xf>
    <xf numFmtId="166" fontId="13" fillId="3" borderId="8" xfId="1" applyNumberFormat="1" applyFont="1" applyFill="1" applyBorder="1" applyAlignment="1">
      <alignment horizontal="right" vertical="center"/>
    </xf>
    <xf numFmtId="166" fontId="13" fillId="4" borderId="7" xfId="1" applyNumberFormat="1" applyFont="1" applyFill="1" applyBorder="1" applyAlignment="1">
      <alignment horizontal="right" vertical="center"/>
    </xf>
    <xf numFmtId="166" fontId="9" fillId="0" borderId="0" xfId="2" applyNumberFormat="1" applyFont="1" applyBorder="1" applyAlignment="1">
      <alignment horizontal="right" vertical="center"/>
    </xf>
    <xf numFmtId="166" fontId="9" fillId="0" borderId="0" xfId="1" applyNumberFormat="1" applyFont="1" applyBorder="1" applyAlignment="1">
      <alignment horizontal="right" vertical="center"/>
    </xf>
    <xf numFmtId="166" fontId="22" fillId="3" borderId="1" xfId="1" applyNumberFormat="1" applyFont="1" applyFill="1" applyBorder="1" applyAlignment="1">
      <alignment horizontal="right" vertical="center"/>
    </xf>
    <xf numFmtId="166" fontId="22" fillId="0" borderId="1" xfId="1" applyNumberFormat="1" applyFont="1" applyBorder="1" applyAlignment="1">
      <alignment horizontal="right" vertical="center"/>
    </xf>
    <xf numFmtId="166" fontId="22" fillId="0" borderId="2" xfId="1" applyNumberFormat="1" applyFont="1" applyBorder="1" applyAlignment="1">
      <alignment horizontal="right" vertical="center"/>
    </xf>
    <xf numFmtId="166" fontId="22" fillId="3" borderId="8" xfId="1" applyNumberFormat="1" applyFont="1" applyFill="1" applyBorder="1" applyAlignment="1">
      <alignment horizontal="right" vertical="center"/>
    </xf>
    <xf numFmtId="166" fontId="13" fillId="4" borderId="18" xfId="2" applyNumberFormat="1" applyFont="1" applyFill="1" applyBorder="1" applyAlignment="1">
      <alignment horizontal="right" vertical="center"/>
    </xf>
    <xf numFmtId="166" fontId="13" fillId="4" borderId="9" xfId="2" applyNumberFormat="1" applyFont="1" applyFill="1" applyBorder="1" applyAlignment="1">
      <alignment horizontal="right" vertical="center"/>
    </xf>
    <xf numFmtId="166" fontId="13" fillId="3" borderId="9" xfId="1" applyNumberFormat="1" applyFont="1" applyFill="1" applyBorder="1" applyAlignment="1">
      <alignment horizontal="right" vertical="center"/>
    </xf>
    <xf numFmtId="166" fontId="13" fillId="4" borderId="9" xfId="1" applyNumberFormat="1" applyFont="1" applyFill="1" applyBorder="1" applyAlignment="1">
      <alignment horizontal="right" vertical="center"/>
    </xf>
    <xf numFmtId="166" fontId="13" fillId="3" borderId="19" xfId="1" applyNumberFormat="1" applyFont="1" applyFill="1" applyBorder="1" applyAlignment="1">
      <alignment horizontal="right" vertical="center"/>
    </xf>
    <xf numFmtId="166" fontId="13" fillId="4" borderId="18" xfId="1" applyNumberFormat="1" applyFont="1" applyFill="1" applyBorder="1" applyAlignment="1">
      <alignment horizontal="right" vertical="center"/>
    </xf>
    <xf numFmtId="4" fontId="13" fillId="4" borderId="20" xfId="1" quotePrefix="1" applyNumberFormat="1" applyFont="1" applyFill="1" applyBorder="1" applyAlignment="1">
      <alignment horizontal="center" vertical="center"/>
    </xf>
    <xf numFmtId="166" fontId="13" fillId="4" borderId="12" xfId="2" applyNumberFormat="1" applyFont="1" applyFill="1" applyBorder="1" applyAlignment="1">
      <alignment horizontal="right" vertical="center"/>
    </xf>
    <xf numFmtId="166" fontId="13" fillId="4" borderId="10" xfId="2" applyNumberFormat="1" applyFont="1" applyFill="1" applyBorder="1" applyAlignment="1">
      <alignment horizontal="right" vertical="center"/>
    </xf>
    <xf numFmtId="166" fontId="13" fillId="3" borderId="10" xfId="1" applyNumberFormat="1" applyFont="1" applyFill="1" applyBorder="1" applyAlignment="1">
      <alignment horizontal="right" vertical="center"/>
    </xf>
    <xf numFmtId="166" fontId="13" fillId="4" borderId="10" xfId="1" applyNumberFormat="1" applyFont="1" applyFill="1" applyBorder="1" applyAlignment="1">
      <alignment horizontal="right" vertical="center"/>
    </xf>
    <xf numFmtId="166" fontId="13" fillId="4" borderId="11" xfId="1" applyNumberFormat="1" applyFont="1" applyFill="1" applyBorder="1" applyAlignment="1">
      <alignment horizontal="right" vertical="center"/>
    </xf>
    <xf numFmtId="166" fontId="13" fillId="3" borderId="13" xfId="1" applyNumberFormat="1" applyFont="1" applyFill="1" applyBorder="1" applyAlignment="1">
      <alignment horizontal="right" vertical="center"/>
    </xf>
    <xf numFmtId="166" fontId="13" fillId="4" borderId="12" xfId="1" applyNumberFormat="1" applyFont="1" applyFill="1" applyBorder="1" applyAlignment="1">
      <alignment horizontal="right" vertical="center"/>
    </xf>
    <xf numFmtId="4" fontId="13" fillId="4" borderId="14" xfId="1" quotePrefix="1" applyNumberFormat="1" applyFont="1" applyFill="1" applyBorder="1" applyAlignment="1">
      <alignment horizontal="center" vertical="center"/>
    </xf>
    <xf numFmtId="166" fontId="13" fillId="6" borderId="27" xfId="2" applyNumberFormat="1" applyFont="1" applyFill="1" applyBorder="1" applyAlignment="1">
      <alignment horizontal="right" vertical="center"/>
    </xf>
    <xf numFmtId="166" fontId="13" fillId="6" borderId="21" xfId="2" applyNumberFormat="1" applyFont="1" applyFill="1" applyBorder="1" applyAlignment="1">
      <alignment horizontal="right" vertical="center"/>
    </xf>
    <xf numFmtId="166" fontId="13" fillId="7" borderId="21" xfId="1" applyNumberFormat="1" applyFont="1" applyFill="1" applyBorder="1" applyAlignment="1">
      <alignment horizontal="right" vertical="center"/>
    </xf>
    <xf numFmtId="166" fontId="13" fillId="6" borderId="21" xfId="1" applyNumberFormat="1" applyFont="1" applyFill="1" applyBorder="1" applyAlignment="1">
      <alignment horizontal="right" vertical="center"/>
    </xf>
    <xf numFmtId="166" fontId="13" fillId="6" borderId="24" xfId="1" applyNumberFormat="1" applyFont="1" applyFill="1" applyBorder="1" applyAlignment="1">
      <alignment horizontal="right" vertical="center"/>
    </xf>
    <xf numFmtId="166" fontId="13" fillId="7" borderId="28" xfId="1" applyNumberFormat="1" applyFont="1" applyFill="1" applyBorder="1" applyAlignment="1">
      <alignment horizontal="right" vertical="center"/>
    </xf>
    <xf numFmtId="166" fontId="13" fillId="6" borderId="27" xfId="1" applyNumberFormat="1" applyFont="1" applyFill="1" applyBorder="1" applyAlignment="1">
      <alignment horizontal="right" vertical="center"/>
    </xf>
    <xf numFmtId="4" fontId="13" fillId="6" borderId="29" xfId="1" quotePrefix="1" applyNumberFormat="1" applyFont="1" applyFill="1" applyBorder="1" applyAlignment="1">
      <alignment horizontal="center" vertical="center"/>
    </xf>
    <xf numFmtId="0" fontId="19" fillId="0" borderId="0" xfId="1" quotePrefix="1" applyNumberFormat="1" applyFont="1" applyBorder="1" applyAlignment="1">
      <alignment horizontal="center" vertical="center"/>
    </xf>
    <xf numFmtId="0" fontId="22" fillId="0" borderId="2" xfId="1" quotePrefix="1" applyNumberFormat="1" applyFont="1" applyBorder="1" applyAlignment="1">
      <alignment horizontal="center" vertical="center"/>
    </xf>
    <xf numFmtId="0" fontId="22" fillId="0" borderId="1" xfId="1" quotePrefix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1" quotePrefix="1" applyNumberFormat="1" applyFont="1" applyBorder="1" applyAlignment="1">
      <alignment horizontal="center" vertical="center"/>
    </xf>
    <xf numFmtId="166" fontId="22" fillId="0" borderId="7" xfId="1" applyNumberFormat="1" applyFont="1" applyBorder="1" applyAlignment="1">
      <alignment horizontal="right" vertical="center"/>
    </xf>
    <xf numFmtId="167" fontId="22" fillId="0" borderId="1" xfId="1" quotePrefix="1" applyNumberFormat="1" applyFont="1" applyBorder="1" applyAlignment="1">
      <alignment horizontal="center" vertical="center"/>
    </xf>
    <xf numFmtId="4" fontId="22" fillId="0" borderId="3" xfId="1" quotePrefix="1" applyNumberFormat="1" applyFont="1" applyBorder="1" applyAlignment="1">
      <alignment horizontal="center" vertical="center" wrapText="1"/>
    </xf>
    <xf numFmtId="164" fontId="22" fillId="0" borderId="1" xfId="1" quotePrefix="1" applyFont="1" applyBorder="1" applyAlignment="1">
      <alignment horizontal="left" vertical="center" wrapText="1"/>
    </xf>
    <xf numFmtId="167" fontId="22" fillId="0" borderId="2" xfId="1" quotePrefix="1" applyNumberFormat="1" applyFont="1" applyBorder="1" applyAlignment="1">
      <alignment horizontal="center" vertical="center"/>
    </xf>
    <xf numFmtId="4" fontId="22" fillId="0" borderId="3" xfId="1" quotePrefix="1" applyNumberFormat="1" applyFont="1" applyBorder="1" applyAlignment="1">
      <alignment horizontal="left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 readingOrder="1"/>
    </xf>
    <xf numFmtId="0" fontId="25" fillId="10" borderId="31" xfId="0" applyFont="1" applyFill="1" applyBorder="1" applyAlignment="1">
      <alignment horizontal="center" vertical="center" wrapText="1" readingOrder="1"/>
    </xf>
    <xf numFmtId="0" fontId="26" fillId="9" borderId="30" xfId="0" applyFont="1" applyFill="1" applyBorder="1" applyAlignment="1">
      <alignment horizontal="center" vertical="center" wrapText="1" readingOrder="1"/>
    </xf>
    <xf numFmtId="3" fontId="26" fillId="9" borderId="30" xfId="0" applyNumberFormat="1" applyFont="1" applyFill="1" applyBorder="1" applyAlignment="1">
      <alignment horizontal="center" vertical="center" wrapText="1" readingOrder="1"/>
    </xf>
    <xf numFmtId="3" fontId="26" fillId="10" borderId="31" xfId="0" applyNumberFormat="1" applyFont="1" applyFill="1" applyBorder="1" applyAlignment="1">
      <alignment horizontal="center" vertical="center" wrapText="1" readingOrder="1"/>
    </xf>
    <xf numFmtId="0" fontId="25" fillId="11" borderId="32" xfId="0" applyFont="1" applyFill="1" applyBorder="1" applyAlignment="1">
      <alignment horizontal="center" vertical="center" wrapText="1" readingOrder="1"/>
    </xf>
    <xf numFmtId="3" fontId="26" fillId="11" borderId="32" xfId="0" applyNumberFormat="1" applyFont="1" applyFill="1" applyBorder="1" applyAlignment="1">
      <alignment horizontal="center" vertical="center" wrapText="1" readingOrder="1"/>
    </xf>
    <xf numFmtId="168" fontId="26" fillId="10" borderId="31" xfId="2" applyNumberFormat="1" applyFont="1" applyFill="1" applyBorder="1" applyAlignment="1">
      <alignment horizontal="center" vertical="center" wrapText="1" readingOrder="1"/>
    </xf>
    <xf numFmtId="0" fontId="25" fillId="10" borderId="32" xfId="0" applyFont="1" applyFill="1" applyBorder="1" applyAlignment="1">
      <alignment horizontal="center" vertical="center" wrapText="1" readingOrder="1"/>
    </xf>
    <xf numFmtId="0" fontId="23" fillId="10" borderId="32" xfId="0" applyFont="1" applyFill="1" applyBorder="1" applyAlignment="1">
      <alignment horizontal="center" vertical="center" wrapText="1"/>
    </xf>
    <xf numFmtId="3" fontId="26" fillId="10" borderId="32" xfId="0" applyNumberFormat="1" applyFont="1" applyFill="1" applyBorder="1" applyAlignment="1">
      <alignment horizontal="center" vertical="center" wrapText="1" readingOrder="1"/>
    </xf>
    <xf numFmtId="164" fontId="22" fillId="0" borderId="1" xfId="1" quotePrefix="1" applyFont="1" applyFill="1" applyBorder="1" applyAlignment="1">
      <alignment horizontal="center" vertical="center"/>
    </xf>
    <xf numFmtId="167" fontId="22" fillId="0" borderId="1" xfId="1" quotePrefix="1" applyNumberFormat="1" applyFont="1" applyFill="1" applyBorder="1" applyAlignment="1">
      <alignment horizontal="center" vertical="center"/>
    </xf>
    <xf numFmtId="167" fontId="22" fillId="0" borderId="2" xfId="1" quotePrefix="1" applyNumberFormat="1" applyFont="1" applyFill="1" applyBorder="1" applyAlignment="1">
      <alignment horizontal="center" vertical="center"/>
    </xf>
    <xf numFmtId="165" fontId="22" fillId="0" borderId="1" xfId="1" quotePrefix="1" applyNumberFormat="1" applyFont="1" applyBorder="1" applyAlignment="1">
      <alignment horizontal="center" vertical="center"/>
    </xf>
    <xf numFmtId="165" fontId="22" fillId="0" borderId="2" xfId="1" quotePrefix="1" applyNumberFormat="1" applyFont="1" applyBorder="1" applyAlignment="1">
      <alignment horizontal="center" vertical="center"/>
    </xf>
    <xf numFmtId="164" fontId="22" fillId="0" borderId="1" xfId="1" quotePrefix="1" applyFont="1" applyBorder="1" applyAlignment="1">
      <alignment horizontal="center" vertical="center" wrapText="1"/>
    </xf>
    <xf numFmtId="164" fontId="22" fillId="0" borderId="1" xfId="1" quotePrefix="1" applyFont="1" applyFill="1" applyBorder="1" applyAlignment="1">
      <alignment horizontal="center" vertical="center" wrapText="1"/>
    </xf>
    <xf numFmtId="0" fontId="22" fillId="0" borderId="1" xfId="1" quotePrefix="1" applyNumberFormat="1" applyFont="1" applyFill="1" applyBorder="1" applyAlignment="1">
      <alignment horizontal="center" vertical="center"/>
    </xf>
    <xf numFmtId="165" fontId="22" fillId="0" borderId="1" xfId="1" quotePrefix="1" applyNumberFormat="1" applyFont="1" applyFill="1" applyBorder="1" applyAlignment="1">
      <alignment horizontal="center" vertical="center"/>
    </xf>
    <xf numFmtId="164" fontId="22" fillId="12" borderId="1" xfId="1" quotePrefix="1" applyFont="1" applyFill="1" applyBorder="1" applyAlignment="1">
      <alignment horizontal="center" vertical="center"/>
    </xf>
    <xf numFmtId="164" fontId="22" fillId="12" borderId="1" xfId="1" quotePrefix="1" applyFont="1" applyFill="1" applyBorder="1" applyAlignment="1">
      <alignment horizontal="center" vertical="center" wrapText="1"/>
    </xf>
    <xf numFmtId="169" fontId="22" fillId="12" borderId="1" xfId="1" quotePrefix="1" applyNumberFormat="1" applyFont="1" applyFill="1" applyBorder="1" applyAlignment="1">
      <alignment horizontal="center" vertical="center"/>
    </xf>
    <xf numFmtId="165" fontId="22" fillId="12" borderId="2" xfId="1" quotePrefix="1" applyNumberFormat="1" applyFont="1" applyFill="1" applyBorder="1" applyAlignment="1">
      <alignment horizontal="center" vertical="center"/>
    </xf>
    <xf numFmtId="165" fontId="22" fillId="0" borderId="2" xfId="1" quotePrefix="1" applyNumberFormat="1" applyFont="1" applyFill="1" applyBorder="1" applyAlignment="1">
      <alignment horizontal="center" vertical="center"/>
    </xf>
    <xf numFmtId="4" fontId="22" fillId="0" borderId="1" xfId="1" quotePrefix="1" applyNumberFormat="1" applyFont="1" applyBorder="1" applyAlignment="1">
      <alignment horizontal="left" vertical="center" wrapText="1"/>
    </xf>
    <xf numFmtId="4" fontId="17" fillId="0" borderId="0" xfId="0" applyNumberFormat="1" applyFont="1" applyAlignment="1">
      <alignment horizontal="left" vertical="center"/>
    </xf>
    <xf numFmtId="4" fontId="18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169" fontId="22" fillId="0" borderId="2" xfId="1" quotePrefix="1" applyNumberFormat="1" applyFont="1" applyFill="1" applyBorder="1" applyAlignment="1">
      <alignment horizontal="center" vertical="center"/>
    </xf>
    <xf numFmtId="37" fontId="22" fillId="12" borderId="1" xfId="1" quotePrefix="1" applyNumberFormat="1" applyFont="1" applyFill="1" applyBorder="1" applyAlignment="1">
      <alignment horizontal="center" vertical="center"/>
    </xf>
    <xf numFmtId="164" fontId="28" fillId="0" borderId="1" xfId="1" quotePrefix="1" applyFont="1" applyBorder="1" applyAlignment="1">
      <alignment horizontal="center" vertical="center"/>
    </xf>
    <xf numFmtId="13" fontId="28" fillId="0" borderId="1" xfId="1" quotePrefix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 wrapText="1"/>
    </xf>
    <xf numFmtId="164" fontId="28" fillId="12" borderId="1" xfId="1" quotePrefix="1" applyFont="1" applyFill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 wrapText="1"/>
    </xf>
    <xf numFmtId="164" fontId="16" fillId="0" borderId="1" xfId="1" quotePrefix="1" applyFont="1" applyBorder="1" applyAlignment="1">
      <alignment horizontal="center" vertical="center" wrapText="1"/>
    </xf>
    <xf numFmtId="37" fontId="3" fillId="0" borderId="1" xfId="1" quotePrefix="1" applyNumberFormat="1" applyFont="1" applyBorder="1" applyAlignment="1">
      <alignment horizontal="center" vertical="center"/>
    </xf>
    <xf numFmtId="164" fontId="3" fillId="0" borderId="1" xfId="1" quotePrefix="1" applyFont="1" applyFill="1" applyBorder="1" applyAlignment="1">
      <alignment horizontal="center" vertical="center"/>
    </xf>
    <xf numFmtId="0" fontId="3" fillId="0" borderId="1" xfId="1" quotePrefix="1" applyNumberFormat="1" applyFont="1" applyFill="1" applyBorder="1" applyAlignment="1">
      <alignment horizontal="center" vertical="center"/>
    </xf>
    <xf numFmtId="167" fontId="3" fillId="0" borderId="1" xfId="1" quotePrefix="1" applyNumberFormat="1" applyFont="1" applyFill="1" applyBorder="1" applyAlignment="1">
      <alignment horizontal="center" vertical="center"/>
    </xf>
    <xf numFmtId="167" fontId="3" fillId="0" borderId="2" xfId="1" quotePrefix="1" applyNumberFormat="1" applyFont="1" applyFill="1" applyBorder="1" applyAlignment="1">
      <alignment horizontal="center" vertical="center"/>
    </xf>
    <xf numFmtId="0" fontId="3" fillId="0" borderId="2" xfId="1" quotePrefix="1" applyNumberFormat="1" applyFont="1" applyFill="1" applyBorder="1" applyAlignment="1">
      <alignment horizontal="center" vertical="center"/>
    </xf>
    <xf numFmtId="164" fontId="3" fillId="0" borderId="1" xfId="1" quotePrefix="1" applyFont="1" applyFill="1" applyBorder="1" applyAlignment="1">
      <alignment horizontal="center" vertical="center" wrapText="1"/>
    </xf>
    <xf numFmtId="4" fontId="3" fillId="0" borderId="3" xfId="1" quotePrefix="1" applyNumberFormat="1" applyFont="1" applyBorder="1" applyAlignment="1">
      <alignment horizontal="center" vertical="center" wrapText="1"/>
    </xf>
    <xf numFmtId="164" fontId="3" fillId="0" borderId="1" xfId="1" quotePrefix="1" applyFont="1" applyBorder="1" applyAlignment="1">
      <alignment horizontal="left" vertical="center" wrapText="1"/>
    </xf>
    <xf numFmtId="164" fontId="3" fillId="0" borderId="1" xfId="1" quotePrefix="1" applyFont="1" applyBorder="1" applyAlignment="1">
      <alignment horizontal="center" vertical="center"/>
    </xf>
    <xf numFmtId="0" fontId="3" fillId="0" borderId="1" xfId="1" quotePrefix="1" applyNumberFormat="1" applyFont="1" applyBorder="1" applyAlignment="1">
      <alignment horizontal="center" vertical="center"/>
    </xf>
    <xf numFmtId="167" fontId="3" fillId="0" borderId="1" xfId="1" quotePrefix="1" applyNumberFormat="1" applyFont="1" applyBorder="1" applyAlignment="1">
      <alignment horizontal="center" vertical="center"/>
    </xf>
    <xf numFmtId="167" fontId="3" fillId="0" borderId="2" xfId="1" quotePrefix="1" applyNumberFormat="1" applyFont="1" applyBorder="1" applyAlignment="1">
      <alignment horizontal="center" vertical="center"/>
    </xf>
    <xf numFmtId="0" fontId="3" fillId="0" borderId="2" xfId="1" quotePrefix="1" applyNumberFormat="1" applyFont="1" applyBorder="1" applyAlignment="1">
      <alignment horizontal="center" vertical="center"/>
    </xf>
    <xf numFmtId="165" fontId="3" fillId="0" borderId="1" xfId="1" quotePrefix="1" applyNumberFormat="1" applyFont="1" applyBorder="1" applyAlignment="1">
      <alignment horizontal="center" vertical="center"/>
    </xf>
    <xf numFmtId="165" fontId="3" fillId="0" borderId="2" xfId="1" quotePrefix="1" applyNumberFormat="1" applyFont="1" applyBorder="1" applyAlignment="1">
      <alignment horizontal="center" vertical="center"/>
    </xf>
    <xf numFmtId="166" fontId="3" fillId="0" borderId="7" xfId="2" applyNumberFormat="1" applyFont="1" applyBorder="1" applyAlignment="1">
      <alignment horizontal="right" vertical="center"/>
    </xf>
    <xf numFmtId="166" fontId="3" fillId="0" borderId="1" xfId="2" applyNumberFormat="1" applyFont="1" applyBorder="1" applyAlignment="1">
      <alignment horizontal="right" vertical="center"/>
    </xf>
    <xf numFmtId="166" fontId="3" fillId="0" borderId="1" xfId="1" applyNumberFormat="1" applyFont="1" applyBorder="1" applyAlignment="1">
      <alignment horizontal="right" vertical="center"/>
    </xf>
    <xf numFmtId="166" fontId="3" fillId="3" borderId="1" xfId="1" applyNumberFormat="1" applyFont="1" applyFill="1" applyBorder="1" applyAlignment="1">
      <alignment horizontal="right" vertical="center"/>
    </xf>
    <xf numFmtId="166" fontId="3" fillId="3" borderId="8" xfId="1" applyNumberFormat="1" applyFont="1" applyFill="1" applyBorder="1" applyAlignment="1">
      <alignment horizontal="right" vertical="center"/>
    </xf>
    <xf numFmtId="166" fontId="3" fillId="0" borderId="7" xfId="1" applyNumberFormat="1" applyFont="1" applyBorder="1" applyAlignment="1">
      <alignment horizontal="right" vertical="center"/>
    </xf>
    <xf numFmtId="4" fontId="3" fillId="0" borderId="3" xfId="1" quotePrefix="1" applyNumberFormat="1" applyFont="1" applyBorder="1" applyAlignment="1">
      <alignment horizontal="left" vertical="center" wrapText="1"/>
    </xf>
    <xf numFmtId="166" fontId="3" fillId="0" borderId="2" xfId="1" applyNumberFormat="1" applyFont="1" applyBorder="1" applyAlignment="1">
      <alignment horizontal="right" vertical="center"/>
    </xf>
    <xf numFmtId="164" fontId="3" fillId="0" borderId="1" xfId="1" quotePrefix="1" applyFont="1" applyBorder="1" applyAlignment="1">
      <alignment horizontal="center" vertical="center" wrapText="1"/>
    </xf>
    <xf numFmtId="164" fontId="3" fillId="0" borderId="10" xfId="1" quotePrefix="1" applyFont="1" applyBorder="1" applyAlignment="1">
      <alignment horizontal="center" vertical="center"/>
    </xf>
    <xf numFmtId="164" fontId="3" fillId="0" borderId="10" xfId="1" quotePrefix="1" applyFont="1" applyBorder="1" applyAlignment="1">
      <alignment horizontal="center" vertical="center" wrapText="1"/>
    </xf>
    <xf numFmtId="0" fontId="3" fillId="0" borderId="10" xfId="1" quotePrefix="1" applyNumberFormat="1" applyFont="1" applyBorder="1" applyAlignment="1">
      <alignment horizontal="center" vertical="center"/>
    </xf>
    <xf numFmtId="165" fontId="3" fillId="0" borderId="10" xfId="1" quotePrefix="1" applyNumberFormat="1" applyFont="1" applyBorder="1" applyAlignment="1">
      <alignment horizontal="center" vertical="center"/>
    </xf>
    <xf numFmtId="165" fontId="3" fillId="0" borderId="11" xfId="1" quotePrefix="1" applyNumberFormat="1" applyFont="1" applyBorder="1" applyAlignment="1">
      <alignment horizontal="center" vertical="center"/>
    </xf>
    <xf numFmtId="166" fontId="3" fillId="0" borderId="12" xfId="2" applyNumberFormat="1" applyFont="1" applyBorder="1" applyAlignment="1">
      <alignment horizontal="right" vertical="center"/>
    </xf>
    <xf numFmtId="166" fontId="3" fillId="0" borderId="10" xfId="2" applyNumberFormat="1" applyFont="1" applyBorder="1" applyAlignment="1">
      <alignment horizontal="right" vertical="center"/>
    </xf>
    <xf numFmtId="166" fontId="3" fillId="3" borderId="10" xfId="1" applyNumberFormat="1" applyFont="1" applyFill="1" applyBorder="1" applyAlignment="1">
      <alignment horizontal="right" vertical="center"/>
    </xf>
    <xf numFmtId="166" fontId="3" fillId="0" borderId="10" xfId="1" applyNumberFormat="1" applyFont="1" applyBorder="1" applyAlignment="1">
      <alignment horizontal="right" vertical="center"/>
    </xf>
    <xf numFmtId="166" fontId="3" fillId="0" borderId="11" xfId="1" applyNumberFormat="1" applyFont="1" applyBorder="1" applyAlignment="1">
      <alignment horizontal="right" vertical="center"/>
    </xf>
    <xf numFmtId="166" fontId="3" fillId="3" borderId="13" xfId="1" applyNumberFormat="1" applyFont="1" applyFill="1" applyBorder="1" applyAlignment="1">
      <alignment horizontal="right" vertical="center"/>
    </xf>
    <xf numFmtId="166" fontId="3" fillId="0" borderId="12" xfId="1" applyNumberFormat="1" applyFont="1" applyBorder="1" applyAlignment="1">
      <alignment horizontal="right" vertical="center"/>
    </xf>
    <xf numFmtId="4" fontId="3" fillId="0" borderId="14" xfId="1" quotePrefix="1" applyNumberFormat="1" applyFont="1" applyBorder="1" applyAlignment="1">
      <alignment horizontal="left" vertical="center" wrapText="1"/>
    </xf>
    <xf numFmtId="37" fontId="3" fillId="0" borderId="10" xfId="1" quotePrefix="1" applyNumberFormat="1" applyFont="1" applyBorder="1" applyAlignment="1">
      <alignment horizontal="center" vertical="center"/>
    </xf>
    <xf numFmtId="165" fontId="3" fillId="0" borderId="1" xfId="1" quotePrefix="1" applyNumberFormat="1" applyFont="1" applyFill="1" applyBorder="1" applyAlignment="1">
      <alignment horizontal="center" vertical="center"/>
    </xf>
    <xf numFmtId="164" fontId="2" fillId="0" borderId="1" xfId="1" quotePrefix="1" applyFont="1" applyBorder="1" applyAlignment="1">
      <alignment horizontal="center" vertical="center" wrapText="1"/>
    </xf>
    <xf numFmtId="164" fontId="2" fillId="12" borderId="1" xfId="1" quotePrefix="1" applyFont="1" applyFill="1" applyBorder="1" applyAlignment="1">
      <alignment horizontal="center" vertical="center"/>
    </xf>
    <xf numFmtId="164" fontId="2" fillId="0" borderId="1" xfId="1" quotePrefix="1" applyFont="1" applyFill="1" applyBorder="1" applyAlignment="1">
      <alignment horizontal="center" vertical="center" wrapText="1"/>
    </xf>
    <xf numFmtId="164" fontId="2" fillId="0" borderId="1" xfId="1" quotePrefix="1" applyFont="1" applyBorder="1" applyAlignment="1">
      <alignment horizontal="center" vertical="center"/>
    </xf>
    <xf numFmtId="164" fontId="2" fillId="12" borderId="1" xfId="1" quotePrefix="1" applyFont="1" applyFill="1" applyBorder="1" applyAlignment="1">
      <alignment horizontal="center" vertical="center" wrapText="1"/>
    </xf>
    <xf numFmtId="169" fontId="2" fillId="12" borderId="1" xfId="1" quotePrefix="1" applyNumberFormat="1" applyFont="1" applyFill="1" applyBorder="1" applyAlignment="1">
      <alignment horizontal="center" vertical="center"/>
    </xf>
    <xf numFmtId="165" fontId="2" fillId="12" borderId="2" xfId="1" quotePrefix="1" applyNumberFormat="1" applyFont="1" applyFill="1" applyBorder="1" applyAlignment="1">
      <alignment horizontal="center" vertical="center"/>
    </xf>
    <xf numFmtId="4" fontId="2" fillId="0" borderId="1" xfId="1" quotePrefix="1" applyNumberFormat="1" applyFont="1" applyBorder="1" applyAlignment="1">
      <alignment horizontal="left" vertical="center" wrapText="1"/>
    </xf>
    <xf numFmtId="164" fontId="14" fillId="2" borderId="1" xfId="1" applyFont="1" applyFill="1" applyBorder="1" applyAlignment="1">
      <alignment horizontal="center" vertical="center"/>
    </xf>
    <xf numFmtId="165" fontId="14" fillId="2" borderId="2" xfId="1" applyNumberFormat="1" applyFont="1" applyFill="1" applyBorder="1" applyAlignment="1">
      <alignment horizontal="center" vertical="center" wrapText="1"/>
    </xf>
    <xf numFmtId="165" fontId="14" fillId="2" borderId="2" xfId="1" applyNumberFormat="1" applyFont="1" applyFill="1" applyBorder="1" applyAlignment="1">
      <alignment horizontal="center" vertical="center"/>
    </xf>
    <xf numFmtId="164" fontId="14" fillId="2" borderId="1" xfId="1" applyFont="1" applyFill="1" applyBorder="1" applyAlignment="1">
      <alignment horizontal="center" vertical="center" wrapText="1"/>
    </xf>
    <xf numFmtId="164" fontId="1" fillId="0" borderId="1" xfId="1" quotePrefix="1" applyFont="1" applyFill="1" applyBorder="1" applyAlignment="1">
      <alignment horizontal="center" vertical="center"/>
    </xf>
    <xf numFmtId="170" fontId="22" fillId="0" borderId="2" xfId="1" quotePrefix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" fillId="12" borderId="1" xfId="1" quotePrefix="1" applyFont="1" applyFill="1" applyBorder="1" applyAlignment="1">
      <alignment horizontal="center" vertical="center"/>
    </xf>
    <xf numFmtId="37" fontId="1" fillId="12" borderId="1" xfId="1" quotePrefix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center" vertical="center"/>
    </xf>
    <xf numFmtId="164" fontId="14" fillId="2" borderId="1" xfId="1" applyFont="1" applyFill="1" applyBorder="1" applyAlignment="1">
      <alignment horizontal="center" vertical="center"/>
    </xf>
    <xf numFmtId="164" fontId="14" fillId="2" borderId="1" xfId="1" applyFont="1" applyFill="1" applyBorder="1" applyAlignment="1">
      <alignment horizontal="center" vertical="center" wrapText="1"/>
    </xf>
    <xf numFmtId="164" fontId="12" fillId="2" borderId="1" xfId="1" applyFont="1" applyFill="1" applyBorder="1" applyAlignment="1">
      <alignment horizontal="center" vertical="center" wrapText="1"/>
    </xf>
    <xf numFmtId="164" fontId="12" fillId="2" borderId="1" xfId="1" applyFont="1" applyFill="1" applyBorder="1" applyAlignment="1">
      <alignment horizontal="center" vertical="center"/>
    </xf>
    <xf numFmtId="0" fontId="14" fillId="2" borderId="1" xfId="1" applyNumberFormat="1" applyFont="1" applyFill="1" applyBorder="1" applyAlignment="1">
      <alignment horizontal="center" vertical="center" wrapText="1"/>
    </xf>
    <xf numFmtId="164" fontId="14" fillId="2" borderId="10" xfId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14" fillId="2" borderId="2" xfId="1" applyNumberFormat="1" applyFont="1" applyFill="1" applyBorder="1" applyAlignment="1">
      <alignment horizontal="center" vertical="center" wrapText="1"/>
    </xf>
    <xf numFmtId="165" fontId="14" fillId="2" borderId="2" xfId="1" applyNumberFormat="1" applyFont="1" applyFill="1" applyBorder="1" applyAlignment="1">
      <alignment horizontal="center" vertical="center"/>
    </xf>
    <xf numFmtId="164" fontId="14" fillId="8" borderId="10" xfId="1" applyFont="1" applyFill="1" applyBorder="1" applyAlignment="1">
      <alignment horizontal="center" vertical="center" wrapText="1"/>
    </xf>
    <xf numFmtId="164" fontId="14" fillId="8" borderId="33" xfId="1" applyFont="1" applyFill="1" applyBorder="1" applyAlignment="1">
      <alignment horizontal="center" vertical="center" wrapText="1"/>
    </xf>
    <xf numFmtId="0" fontId="14" fillId="8" borderId="2" xfId="1" applyNumberFormat="1" applyFont="1" applyFill="1" applyBorder="1" applyAlignment="1">
      <alignment horizontal="center" vertical="center" wrapText="1"/>
    </xf>
    <xf numFmtId="0" fontId="14" fillId="8" borderId="2" xfId="1" applyNumberFormat="1" applyFont="1" applyFill="1" applyBorder="1" applyAlignment="1">
      <alignment horizontal="center" vertical="center"/>
    </xf>
    <xf numFmtId="164" fontId="14" fillId="8" borderId="1" xfId="1" applyFont="1" applyFill="1" applyBorder="1" applyAlignment="1">
      <alignment horizontal="center" vertical="center" wrapText="1"/>
    </xf>
    <xf numFmtId="164" fontId="14" fillId="8" borderId="1" xfId="1" applyFont="1" applyFill="1" applyBorder="1" applyAlignment="1">
      <alignment horizontal="center" vertical="center"/>
    </xf>
    <xf numFmtId="4" fontId="14" fillId="8" borderId="3" xfId="1" applyNumberFormat="1" applyFont="1" applyFill="1" applyBorder="1" applyAlignment="1">
      <alignment horizontal="center" vertical="center"/>
    </xf>
    <xf numFmtId="37" fontId="13" fillId="6" borderId="24" xfId="1" quotePrefix="1" applyNumberFormat="1" applyFont="1" applyFill="1" applyBorder="1" applyAlignment="1">
      <alignment horizontal="center" vertical="center"/>
    </xf>
    <xf numFmtId="37" fontId="13" fillId="6" borderId="25" xfId="1" quotePrefix="1" applyNumberFormat="1" applyFont="1" applyFill="1" applyBorder="1" applyAlignment="1">
      <alignment horizontal="center" vertical="center"/>
    </xf>
    <xf numFmtId="37" fontId="13" fillId="6" borderId="26" xfId="1" quotePrefix="1" applyNumberFormat="1" applyFont="1" applyFill="1" applyBorder="1" applyAlignment="1">
      <alignment horizontal="center" vertical="center"/>
    </xf>
    <xf numFmtId="37" fontId="13" fillId="4" borderId="11" xfId="1" quotePrefix="1" applyNumberFormat="1" applyFont="1" applyFill="1" applyBorder="1" applyAlignment="1">
      <alignment horizontal="center" vertical="center"/>
    </xf>
    <xf numFmtId="37" fontId="13" fillId="4" borderId="22" xfId="1" quotePrefix="1" applyNumberFormat="1" applyFont="1" applyFill="1" applyBorder="1" applyAlignment="1">
      <alignment horizontal="center" vertical="center"/>
    </xf>
    <xf numFmtId="37" fontId="13" fillId="4" borderId="23" xfId="1" quotePrefix="1" applyNumberFormat="1" applyFont="1" applyFill="1" applyBorder="1" applyAlignment="1">
      <alignment horizontal="center" vertical="center"/>
    </xf>
    <xf numFmtId="166" fontId="12" fillId="5" borderId="2" xfId="1" applyNumberFormat="1" applyFont="1" applyFill="1" applyBorder="1" applyAlignment="1">
      <alignment horizontal="center" vertical="center"/>
    </xf>
    <xf numFmtId="166" fontId="12" fillId="5" borderId="4" xfId="1" applyNumberFormat="1" applyFont="1" applyFill="1" applyBorder="1" applyAlignment="1">
      <alignment horizontal="center" vertical="center"/>
    </xf>
    <xf numFmtId="166" fontId="12" fillId="5" borderId="6" xfId="1" applyNumberFormat="1" applyFont="1" applyFill="1" applyBorder="1" applyAlignment="1">
      <alignment horizontal="center" vertical="center"/>
    </xf>
    <xf numFmtId="4" fontId="12" fillId="2" borderId="3" xfId="1" applyNumberFormat="1" applyFont="1" applyFill="1" applyBorder="1" applyAlignment="1">
      <alignment horizontal="center" vertical="center"/>
    </xf>
    <xf numFmtId="37" fontId="13" fillId="4" borderId="2" xfId="1" quotePrefix="1" applyNumberFormat="1" applyFont="1" applyFill="1" applyBorder="1" applyAlignment="1">
      <alignment horizontal="center" vertical="center"/>
    </xf>
    <xf numFmtId="37" fontId="13" fillId="4" borderId="4" xfId="1" quotePrefix="1" applyNumberFormat="1" applyFont="1" applyFill="1" applyBorder="1" applyAlignment="1">
      <alignment horizontal="center" vertical="center"/>
    </xf>
    <xf numFmtId="37" fontId="13" fillId="4" borderId="6" xfId="1" quotePrefix="1" applyNumberFormat="1" applyFont="1" applyFill="1" applyBorder="1" applyAlignment="1">
      <alignment horizontal="center" vertical="center"/>
    </xf>
    <xf numFmtId="37" fontId="13" fillId="4" borderId="15" xfId="1" quotePrefix="1" applyNumberFormat="1" applyFont="1" applyFill="1" applyBorder="1" applyAlignment="1">
      <alignment horizontal="center" vertical="center"/>
    </xf>
    <xf numFmtId="37" fontId="13" fillId="4" borderId="16" xfId="1" quotePrefix="1" applyNumberFormat="1" applyFont="1" applyFill="1" applyBorder="1" applyAlignment="1">
      <alignment horizontal="center" vertical="center"/>
    </xf>
    <xf numFmtId="37" fontId="13" fillId="4" borderId="17" xfId="1" quotePrefix="1" applyNumberFormat="1" applyFont="1" applyFill="1" applyBorder="1" applyAlignment="1">
      <alignment horizontal="center" vertical="center"/>
    </xf>
    <xf numFmtId="165" fontId="12" fillId="2" borderId="2" xfId="1" applyNumberFormat="1" applyFont="1" applyFill="1" applyBorder="1" applyAlignment="1">
      <alignment horizontal="center" vertical="center" wrapText="1"/>
    </xf>
    <xf numFmtId="165" fontId="12" fillId="2" borderId="2" xfId="1" applyNumberFormat="1" applyFont="1" applyFill="1" applyBorder="1" applyAlignment="1">
      <alignment horizontal="center" vertical="center"/>
    </xf>
    <xf numFmtId="166" fontId="12" fillId="2" borderId="5" xfId="1" applyNumberFormat="1" applyFont="1" applyFill="1" applyBorder="1" applyAlignment="1">
      <alignment horizontal="center" vertical="center"/>
    </xf>
    <xf numFmtId="166" fontId="12" fillId="2" borderId="4" xfId="1" applyNumberFormat="1" applyFont="1" applyFill="1" applyBorder="1" applyAlignment="1">
      <alignment horizontal="center" vertical="center"/>
    </xf>
    <xf numFmtId="166" fontId="12" fillId="2" borderId="2" xfId="1" applyNumberFormat="1" applyFont="1" applyFill="1" applyBorder="1" applyAlignment="1">
      <alignment horizontal="center" vertical="center"/>
    </xf>
    <xf numFmtId="166" fontId="12" fillId="2" borderId="6" xfId="1" applyNumberFormat="1" applyFont="1" applyFill="1" applyBorder="1" applyAlignment="1">
      <alignment horizontal="center" vertical="center"/>
    </xf>
    <xf numFmtId="166" fontId="12" fillId="5" borderId="5" xfId="1" applyNumberFormat="1" applyFont="1" applyFill="1" applyBorder="1" applyAlignment="1">
      <alignment horizontal="center" vertical="center"/>
    </xf>
    <xf numFmtId="0" fontId="12" fillId="2" borderId="1" xfId="1" applyNumberFormat="1" applyFont="1" applyFill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13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12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ustomXml" Target="../customXml/item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B7DE-B5DF-43CD-B558-1027B3FBD67E}">
  <dimension ref="A1:Q21"/>
  <sheetViews>
    <sheetView showGridLines="0" zoomScaleNormal="100" workbookViewId="0">
      <pane xSplit="7" ySplit="4" topLeftCell="H5" activePane="bottomRight" state="frozen"/>
      <selection pane="bottomLeft" activeCell="A5" sqref="A5"/>
      <selection pane="topRight" activeCell="H1" sqref="H1"/>
      <selection pane="bottomRight" activeCell="M17" sqref="M17"/>
    </sheetView>
  </sheetViews>
  <sheetFormatPr defaultColWidth="8.984375" defaultRowHeight="25.35" customHeight="1" x14ac:dyDescent="0.2"/>
  <cols>
    <col min="1" max="1" width="8.03125" style="23" customWidth="1"/>
    <col min="2" max="3" width="12.52734375" style="23" customWidth="1"/>
    <col min="4" max="4" width="13.48046875" style="23" bestFit="1" customWidth="1"/>
    <col min="5" max="5" width="19.46875" style="23" bestFit="1" customWidth="1"/>
    <col min="6" max="6" width="11.02734375" style="23" customWidth="1"/>
    <col min="7" max="7" width="16.4765625" style="23" customWidth="1"/>
    <col min="8" max="8" width="11.4375" style="23" customWidth="1"/>
    <col min="9" max="9" width="8.578125" style="23" customWidth="1"/>
    <col min="10" max="10" width="9.53125" style="23" customWidth="1"/>
    <col min="11" max="11" width="7.48828125" style="23" customWidth="1"/>
    <col min="12" max="13" width="9.53125" style="24" customWidth="1"/>
    <col min="14" max="14" width="5.98828125" style="23" customWidth="1"/>
    <col min="15" max="15" width="16.4765625" style="23" customWidth="1"/>
    <col min="16" max="16" width="34.44921875" style="25" customWidth="1"/>
    <col min="17" max="17" width="58.55078125" style="23" customWidth="1"/>
    <col min="18" max="16384" width="8.984375" style="23"/>
  </cols>
  <sheetData>
    <row r="1" spans="1:17" s="22" customFormat="1" ht="25.5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8"/>
      <c r="O1" s="18"/>
      <c r="P1" s="20"/>
      <c r="Q1" s="21"/>
    </row>
    <row r="2" spans="1:17" ht="17.850000000000001" customHeight="1" x14ac:dyDescent="0.2">
      <c r="A2" s="30" t="s">
        <v>1</v>
      </c>
      <c r="B2" s="30">
        <v>45726</v>
      </c>
    </row>
    <row r="3" spans="1:17" s="22" customFormat="1" ht="23.85" customHeight="1" x14ac:dyDescent="0.2">
      <c r="A3" s="195" t="s">
        <v>2</v>
      </c>
      <c r="B3" s="195" t="s">
        <v>3</v>
      </c>
      <c r="C3" s="196" t="s">
        <v>4</v>
      </c>
      <c r="D3" s="196" t="s">
        <v>5</v>
      </c>
      <c r="E3" s="196" t="s">
        <v>6</v>
      </c>
      <c r="F3" s="196" t="s">
        <v>7</v>
      </c>
      <c r="G3" s="196" t="s">
        <v>8</v>
      </c>
      <c r="H3" s="196" t="s">
        <v>9</v>
      </c>
      <c r="I3" s="196" t="s">
        <v>10</v>
      </c>
      <c r="J3" s="196" t="s">
        <v>11</v>
      </c>
      <c r="K3" s="199" t="s">
        <v>12</v>
      </c>
      <c r="L3" s="193" t="s">
        <v>13</v>
      </c>
      <c r="M3" s="202" t="s">
        <v>14</v>
      </c>
      <c r="N3" s="206" t="s">
        <v>15</v>
      </c>
      <c r="O3" s="208" t="s">
        <v>16</v>
      </c>
      <c r="P3" s="210" t="s">
        <v>17</v>
      </c>
      <c r="Q3" s="208" t="s">
        <v>18</v>
      </c>
    </row>
    <row r="4" spans="1:17" s="22" customFormat="1" ht="23.85" customHeight="1" x14ac:dyDescent="0.2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9"/>
      <c r="L4" s="194"/>
      <c r="M4" s="203"/>
      <c r="N4" s="207"/>
      <c r="O4" s="209"/>
      <c r="P4" s="210"/>
      <c r="Q4" s="208"/>
    </row>
    <row r="5" spans="1:17" s="22" customFormat="1" ht="27.75" x14ac:dyDescent="0.2">
      <c r="A5" s="135" t="s">
        <v>19</v>
      </c>
      <c r="B5" s="136" t="s">
        <v>20</v>
      </c>
      <c r="C5" s="136" t="s">
        <v>21</v>
      </c>
      <c r="D5" s="136" t="s">
        <v>22</v>
      </c>
      <c r="E5" s="136" t="s">
        <v>23</v>
      </c>
      <c r="F5" s="136" t="s">
        <v>24</v>
      </c>
      <c r="G5" s="136" t="s">
        <v>25</v>
      </c>
      <c r="H5" s="136" t="s">
        <v>10</v>
      </c>
      <c r="I5" s="136" t="s">
        <v>26</v>
      </c>
      <c r="J5" s="136">
        <v>57175</v>
      </c>
      <c r="K5" s="137">
        <v>20</v>
      </c>
      <c r="L5" s="138">
        <v>0.46150000000000002</v>
      </c>
      <c r="M5" s="139">
        <v>0.4733</v>
      </c>
      <c r="N5" s="140">
        <v>1</v>
      </c>
      <c r="O5" s="141" t="s">
        <v>27</v>
      </c>
      <c r="P5" s="142" t="s">
        <v>28</v>
      </c>
      <c r="Q5" s="143" t="s">
        <v>29</v>
      </c>
    </row>
    <row r="6" spans="1:17" s="32" customFormat="1" ht="24" customHeight="1" x14ac:dyDescent="0.2">
      <c r="A6" s="33" t="s">
        <v>19</v>
      </c>
      <c r="B6" s="34" t="s">
        <v>20</v>
      </c>
      <c r="C6" s="136" t="s">
        <v>21</v>
      </c>
      <c r="D6" s="34" t="s">
        <v>30</v>
      </c>
      <c r="E6" s="34" t="s">
        <v>30</v>
      </c>
      <c r="F6" s="136" t="s">
        <v>24</v>
      </c>
      <c r="G6" s="34" t="s">
        <v>31</v>
      </c>
      <c r="H6" s="34" t="s">
        <v>32</v>
      </c>
      <c r="I6" s="34" t="s">
        <v>33</v>
      </c>
      <c r="J6" s="34">
        <v>130790</v>
      </c>
      <c r="K6" s="86">
        <v>4</v>
      </c>
      <c r="L6" s="90">
        <v>0.4778</v>
      </c>
      <c r="M6" s="139">
        <v>0.49</v>
      </c>
      <c r="N6" s="85">
        <v>1</v>
      </c>
      <c r="O6" s="34" t="s">
        <v>34</v>
      </c>
      <c r="P6" s="91" t="s">
        <v>35</v>
      </c>
      <c r="Q6" s="92" t="s">
        <v>36</v>
      </c>
    </row>
    <row r="7" spans="1:17" s="32" customFormat="1" ht="24" customHeight="1" x14ac:dyDescent="0.2">
      <c r="A7" s="33" t="s">
        <v>19</v>
      </c>
      <c r="B7" s="34" t="s">
        <v>20</v>
      </c>
      <c r="C7" s="136" t="s">
        <v>21</v>
      </c>
      <c r="D7" s="34" t="s">
        <v>30</v>
      </c>
      <c r="E7" s="34" t="s">
        <v>30</v>
      </c>
      <c r="F7" s="136" t="s">
        <v>24</v>
      </c>
      <c r="G7" s="34" t="s">
        <v>37</v>
      </c>
      <c r="H7" s="34" t="s">
        <v>38</v>
      </c>
      <c r="I7" s="34" t="s">
        <v>39</v>
      </c>
      <c r="J7" s="34">
        <v>294009</v>
      </c>
      <c r="K7" s="86">
        <v>8</v>
      </c>
      <c r="L7" s="90">
        <v>0.48070000000000002</v>
      </c>
      <c r="M7" s="93">
        <v>0.49299999999999999</v>
      </c>
      <c r="N7" s="85">
        <v>1</v>
      </c>
      <c r="O7" s="34" t="s">
        <v>40</v>
      </c>
      <c r="P7" s="91" t="s">
        <v>41</v>
      </c>
      <c r="Q7" s="92" t="s">
        <v>42</v>
      </c>
    </row>
    <row r="8" spans="1:17" s="22" customFormat="1" ht="24" customHeight="1" x14ac:dyDescent="0.2">
      <c r="A8" s="33" t="s">
        <v>19</v>
      </c>
      <c r="B8" s="34" t="s">
        <v>20</v>
      </c>
      <c r="C8" s="136" t="s">
        <v>21</v>
      </c>
      <c r="D8" s="34" t="s">
        <v>30</v>
      </c>
      <c r="E8" s="34" t="s">
        <v>43</v>
      </c>
      <c r="F8" s="136" t="s">
        <v>24</v>
      </c>
      <c r="G8" s="144" t="s">
        <v>44</v>
      </c>
      <c r="H8" s="144" t="s">
        <v>38</v>
      </c>
      <c r="I8" s="144" t="s">
        <v>45</v>
      </c>
      <c r="J8" s="144">
        <v>70000</v>
      </c>
      <c r="K8" s="145">
        <v>2</v>
      </c>
      <c r="L8" s="146">
        <v>1.5503</v>
      </c>
      <c r="M8" s="147">
        <v>1.59</v>
      </c>
      <c r="N8" s="148">
        <v>1</v>
      </c>
      <c r="O8" s="34" t="s">
        <v>46</v>
      </c>
      <c r="P8" s="91" t="s">
        <v>47</v>
      </c>
      <c r="Q8" s="92" t="s">
        <v>48</v>
      </c>
    </row>
    <row r="9" spans="1:17" s="22" customFormat="1" ht="24" customHeight="1" x14ac:dyDescent="0.2">
      <c r="A9" s="33" t="s">
        <v>19</v>
      </c>
      <c r="B9" s="34" t="s">
        <v>20</v>
      </c>
      <c r="C9" s="136" t="s">
        <v>21</v>
      </c>
      <c r="D9" s="144" t="s">
        <v>49</v>
      </c>
      <c r="E9" s="144" t="s">
        <v>50</v>
      </c>
      <c r="F9" s="144" t="s">
        <v>49</v>
      </c>
      <c r="G9" s="144" t="s">
        <v>51</v>
      </c>
      <c r="H9" s="144" t="s">
        <v>38</v>
      </c>
      <c r="I9" s="144" t="s">
        <v>52</v>
      </c>
      <c r="J9" s="144">
        <v>60000</v>
      </c>
      <c r="K9" s="145">
        <v>16</v>
      </c>
      <c r="L9" s="90">
        <f>M9*0.975</f>
        <v>0.87749999999999995</v>
      </c>
      <c r="M9" s="93">
        <v>0.9</v>
      </c>
      <c r="N9" s="148">
        <v>1</v>
      </c>
      <c r="O9" s="34" t="s">
        <v>53</v>
      </c>
      <c r="P9" s="91" t="s">
        <v>54</v>
      </c>
      <c r="Q9" s="92" t="s">
        <v>55</v>
      </c>
    </row>
    <row r="10" spans="1:17" s="22" customFormat="1" ht="24" customHeight="1" x14ac:dyDescent="0.2">
      <c r="A10" s="33" t="s">
        <v>19</v>
      </c>
      <c r="B10" s="34" t="s">
        <v>20</v>
      </c>
      <c r="C10" s="136" t="s">
        <v>21</v>
      </c>
      <c r="D10" s="144" t="s">
        <v>49</v>
      </c>
      <c r="E10" s="144" t="s">
        <v>50</v>
      </c>
      <c r="F10" s="144" t="s">
        <v>49</v>
      </c>
      <c r="G10" s="144" t="s">
        <v>56</v>
      </c>
      <c r="H10" s="144" t="s">
        <v>38</v>
      </c>
      <c r="I10" s="144" t="s">
        <v>57</v>
      </c>
      <c r="J10" s="144">
        <v>60000</v>
      </c>
      <c r="K10" s="145">
        <v>16</v>
      </c>
      <c r="L10" s="90">
        <f>M10*0.975</f>
        <v>0.87749999999999995</v>
      </c>
      <c r="M10" s="93">
        <v>0.9</v>
      </c>
      <c r="N10" s="148">
        <v>1</v>
      </c>
      <c r="O10" s="34" t="s">
        <v>58</v>
      </c>
      <c r="P10" s="91" t="s">
        <v>59</v>
      </c>
      <c r="Q10" s="92"/>
    </row>
    <row r="11" spans="1:17" s="22" customFormat="1" ht="24" customHeight="1" x14ac:dyDescent="0.2">
      <c r="A11" s="33" t="s">
        <v>19</v>
      </c>
      <c r="B11" s="34" t="s">
        <v>20</v>
      </c>
      <c r="C11" s="136" t="s">
        <v>21</v>
      </c>
      <c r="D11" s="144" t="s">
        <v>49</v>
      </c>
      <c r="E11" s="144" t="s">
        <v>50</v>
      </c>
      <c r="F11" s="144" t="s">
        <v>49</v>
      </c>
      <c r="G11" s="144" t="s">
        <v>60</v>
      </c>
      <c r="H11" s="144" t="s">
        <v>58</v>
      </c>
      <c r="I11" s="144" t="s">
        <v>58</v>
      </c>
      <c r="J11" s="144" t="s">
        <v>58</v>
      </c>
      <c r="K11" s="145" t="s">
        <v>58</v>
      </c>
      <c r="L11" s="149" t="s">
        <v>58</v>
      </c>
      <c r="M11" s="150" t="s">
        <v>58</v>
      </c>
      <c r="N11" s="148">
        <v>2</v>
      </c>
      <c r="O11" s="34" t="s">
        <v>58</v>
      </c>
      <c r="P11" s="91" t="s">
        <v>61</v>
      </c>
      <c r="Q11" s="92" t="s">
        <v>62</v>
      </c>
    </row>
    <row r="12" spans="1:17" s="22" customFormat="1" ht="24" customHeight="1" x14ac:dyDescent="0.2">
      <c r="A12" s="135" t="s">
        <v>19</v>
      </c>
      <c r="B12" s="136" t="s">
        <v>20</v>
      </c>
      <c r="C12" s="136" t="s">
        <v>21</v>
      </c>
      <c r="D12" s="136" t="s">
        <v>22</v>
      </c>
      <c r="E12" s="136" t="s">
        <v>23</v>
      </c>
      <c r="F12" s="136" t="s">
        <v>24</v>
      </c>
      <c r="G12" s="144" t="s">
        <v>63</v>
      </c>
      <c r="H12" s="144" t="s">
        <v>38</v>
      </c>
      <c r="I12" s="144" t="s">
        <v>64</v>
      </c>
      <c r="J12" s="144">
        <v>15000</v>
      </c>
      <c r="K12" s="145">
        <v>20</v>
      </c>
      <c r="L12" s="90">
        <f>M12*0.975</f>
        <v>0.24374999999999999</v>
      </c>
      <c r="M12" s="150">
        <v>0.25</v>
      </c>
      <c r="N12" s="148">
        <v>1</v>
      </c>
      <c r="O12" s="141" t="s">
        <v>27</v>
      </c>
      <c r="P12" s="91" t="s">
        <v>65</v>
      </c>
      <c r="Q12" s="92" t="s">
        <v>66</v>
      </c>
    </row>
    <row r="13" spans="1:17" s="22" customFormat="1" ht="24" customHeight="1" x14ac:dyDescent="0.2">
      <c r="A13" s="135"/>
      <c r="B13" s="144"/>
      <c r="C13" s="144"/>
      <c r="D13" s="144"/>
      <c r="E13" s="144"/>
      <c r="F13" s="144"/>
      <c r="G13" s="144"/>
      <c r="H13" s="144"/>
      <c r="I13" s="144"/>
      <c r="J13" s="144"/>
      <c r="K13" s="145"/>
      <c r="L13" s="149"/>
      <c r="M13" s="150"/>
      <c r="N13" s="148"/>
      <c r="O13" s="34"/>
      <c r="P13" s="91"/>
      <c r="Q13" s="92"/>
    </row>
    <row r="14" spans="1:17" s="22" customFormat="1" ht="24" customHeight="1" x14ac:dyDescent="0.2">
      <c r="A14" s="135"/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9"/>
      <c r="M14" s="150"/>
      <c r="N14" s="148"/>
      <c r="O14" s="34"/>
      <c r="P14" s="91"/>
      <c r="Q14" s="92"/>
    </row>
    <row r="15" spans="1:17" s="22" customFormat="1" ht="24" customHeight="1" x14ac:dyDescent="0.2">
      <c r="A15" s="135"/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149"/>
      <c r="M15" s="150"/>
      <c r="N15" s="148"/>
      <c r="O15" s="34"/>
      <c r="P15" s="91"/>
      <c r="Q15" s="92"/>
    </row>
    <row r="16" spans="1:17" s="22" customFormat="1" ht="24" customHeight="1" x14ac:dyDescent="0.2">
      <c r="A16" s="135"/>
      <c r="B16" s="144"/>
      <c r="C16" s="144"/>
      <c r="D16" s="144"/>
      <c r="E16" s="144"/>
      <c r="F16" s="144"/>
      <c r="G16" s="144"/>
      <c r="H16" s="144"/>
      <c r="I16" s="144"/>
      <c r="J16" s="144"/>
      <c r="K16" s="145"/>
      <c r="L16" s="149"/>
      <c r="M16" s="150"/>
      <c r="N16" s="148"/>
      <c r="O16" s="144"/>
      <c r="P16" s="142"/>
      <c r="Q16" s="143"/>
    </row>
    <row r="17" spans="1:17" s="22" customFormat="1" ht="24" customHeight="1" x14ac:dyDescent="0.2">
      <c r="A17" s="135"/>
      <c r="B17" s="144"/>
      <c r="C17" s="144"/>
      <c r="D17" s="144"/>
      <c r="E17" s="144"/>
      <c r="F17" s="144"/>
      <c r="G17" s="144"/>
      <c r="H17" s="144"/>
      <c r="I17" s="144"/>
      <c r="J17" s="144"/>
      <c r="K17" s="145"/>
      <c r="L17" s="149"/>
      <c r="M17" s="150"/>
      <c r="N17" s="148"/>
      <c r="O17" s="144"/>
      <c r="P17" s="142"/>
      <c r="Q17" s="143"/>
    </row>
    <row r="18" spans="1:17" s="22" customFormat="1" ht="24" customHeight="1" x14ac:dyDescent="0.2">
      <c r="A18" s="135"/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49"/>
      <c r="M18" s="150"/>
      <c r="N18" s="148"/>
      <c r="O18" s="144"/>
      <c r="P18" s="142"/>
      <c r="Q18" s="143"/>
    </row>
    <row r="19" spans="1:17" s="22" customFormat="1" ht="24" customHeight="1" x14ac:dyDescent="0.2">
      <c r="A19" s="135"/>
      <c r="B19" s="144"/>
      <c r="C19" s="144"/>
      <c r="D19" s="144"/>
      <c r="E19" s="144"/>
      <c r="F19" s="144"/>
      <c r="G19" s="144"/>
      <c r="H19" s="144"/>
      <c r="I19" s="144"/>
      <c r="J19" s="144"/>
      <c r="K19" s="145"/>
      <c r="L19" s="149"/>
      <c r="M19" s="150"/>
      <c r="N19" s="148"/>
      <c r="O19" s="144"/>
      <c r="P19" s="142"/>
      <c r="Q19" s="143"/>
    </row>
    <row r="20" spans="1:17" s="22" customFormat="1" ht="24" customHeight="1" x14ac:dyDescent="0.2">
      <c r="A20" s="135"/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9"/>
      <c r="M20" s="150"/>
      <c r="N20" s="148"/>
      <c r="O20" s="144"/>
      <c r="P20" s="142"/>
      <c r="Q20" s="143"/>
    </row>
    <row r="21" spans="1:17" s="22" customFormat="1" ht="24" customHeight="1" x14ac:dyDescent="0.2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84"/>
      <c r="L21" s="27"/>
      <c r="M21" s="27"/>
      <c r="N21" s="84"/>
      <c r="O21" s="26"/>
      <c r="P21" s="28"/>
      <c r="Q21" s="29"/>
    </row>
  </sheetData>
  <mergeCells count="17">
    <mergeCell ref="N3:N4"/>
    <mergeCell ref="Q3:Q4"/>
    <mergeCell ref="K3:K4"/>
    <mergeCell ref="O3:O4"/>
    <mergeCell ref="P3:P4"/>
    <mergeCell ref="A3:A4"/>
    <mergeCell ref="B3:B4"/>
    <mergeCell ref="L3:L4"/>
    <mergeCell ref="M3:M4"/>
    <mergeCell ref="C3:C4"/>
    <mergeCell ref="F3:F4"/>
    <mergeCell ref="G3:G4"/>
    <mergeCell ref="D3:D4"/>
    <mergeCell ref="I3:I4"/>
    <mergeCell ref="E3:E4"/>
    <mergeCell ref="H3:H4"/>
    <mergeCell ref="J3:J4"/>
  </mergeCells>
  <phoneticPr fontId="21" type="noConversion"/>
  <pageMargins left="0.7" right="0.7" top="0.75" bottom="0.75" header="0.3" footer="0.3"/>
  <pageSetup paperSize="26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8FD5-83C4-487D-B1E6-F7E75EA092FB}">
  <dimension ref="A1:AH29"/>
  <sheetViews>
    <sheetView showGridLines="0" zoomScaleNormal="100" workbookViewId="0">
      <pane xSplit="7" ySplit="4" topLeftCell="M5" activePane="bottomRight" state="frozen"/>
      <selection pane="bottomLeft" activeCell="A5" sqref="A5"/>
      <selection pane="topRight" activeCell="H1" sqref="H1"/>
      <selection pane="bottomRight" activeCell="D6" sqref="D6"/>
    </sheetView>
  </sheetViews>
  <sheetFormatPr defaultRowHeight="25.35" customHeight="1" x14ac:dyDescent="0.2"/>
  <cols>
    <col min="1" max="1" width="6.53515625" customWidth="1"/>
    <col min="2" max="2" width="11.4375" customWidth="1"/>
    <col min="3" max="3" width="12.52734375" customWidth="1"/>
    <col min="4" max="4" width="20.55859375" bestFit="1" customWidth="1"/>
    <col min="5" max="5" width="17.97265625" bestFit="1" customWidth="1"/>
    <col min="6" max="6" width="12.52734375" customWidth="1"/>
    <col min="7" max="7" width="13.48046875" bestFit="1" customWidth="1"/>
    <col min="8" max="8" width="11.4375" customWidth="1"/>
    <col min="9" max="10" width="9.53125" customWidth="1"/>
    <col min="11" max="11" width="7.48828125" style="4" customWidth="1"/>
    <col min="12" max="13" width="9.53125" style="7" customWidth="1"/>
    <col min="14" max="17" width="8.578125" style="37" customWidth="1"/>
    <col min="18" max="18" width="9.53125" style="38" customWidth="1"/>
    <col min="19" max="19" width="11.57421875" style="38" bestFit="1" customWidth="1"/>
    <col min="20" max="22" width="8.578125" style="38" customWidth="1"/>
    <col min="23" max="23" width="9.53125" style="38" customWidth="1"/>
    <col min="24" max="27" width="8.578125" style="38" customWidth="1"/>
    <col min="28" max="28" width="9.53125" style="38" customWidth="1"/>
    <col min="29" max="32" width="8.578125" style="38" customWidth="1"/>
    <col min="33" max="33" width="9.53125" style="38" customWidth="1"/>
    <col min="34" max="34" width="34.44921875" style="10" customWidth="1"/>
  </cols>
  <sheetData>
    <row r="1" spans="1:34" s="1" customFormat="1" ht="25.5" x14ac:dyDescent="0.2">
      <c r="A1" s="16" t="s">
        <v>67</v>
      </c>
      <c r="B1" s="3"/>
      <c r="C1" s="3"/>
      <c r="D1" s="3"/>
      <c r="E1" s="3"/>
      <c r="F1" s="3"/>
      <c r="G1" s="14"/>
      <c r="H1" s="3"/>
      <c r="I1" s="3"/>
      <c r="J1" s="3"/>
      <c r="K1" s="87"/>
      <c r="L1" s="6"/>
      <c r="M1" s="6"/>
      <c r="N1" s="35"/>
      <c r="O1" s="35"/>
      <c r="P1" s="35"/>
      <c r="Q1" s="35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9"/>
    </row>
    <row r="2" spans="1:34" ht="17.850000000000001" customHeight="1" x14ac:dyDescent="0.2">
      <c r="A2" s="30" t="s">
        <v>1</v>
      </c>
      <c r="B2" s="30">
        <v>45726</v>
      </c>
    </row>
    <row r="3" spans="1:34" s="1" customFormat="1" ht="24" customHeight="1" x14ac:dyDescent="0.2">
      <c r="A3" s="198" t="s">
        <v>2</v>
      </c>
      <c r="B3" s="198" t="s">
        <v>3</v>
      </c>
      <c r="C3" s="197" t="s">
        <v>4</v>
      </c>
      <c r="D3" s="197" t="s">
        <v>5</v>
      </c>
      <c r="E3" s="197" t="s">
        <v>6</v>
      </c>
      <c r="F3" s="197" t="s">
        <v>7</v>
      </c>
      <c r="G3" s="197" t="s">
        <v>8</v>
      </c>
      <c r="H3" s="197" t="s">
        <v>9</v>
      </c>
      <c r="I3" s="197" t="s">
        <v>10</v>
      </c>
      <c r="J3" s="197" t="s">
        <v>11</v>
      </c>
      <c r="K3" s="234" t="s">
        <v>12</v>
      </c>
      <c r="L3" s="235" t="s">
        <v>13</v>
      </c>
      <c r="M3" s="227" t="s">
        <v>14</v>
      </c>
      <c r="N3" s="229" t="s">
        <v>68</v>
      </c>
      <c r="O3" s="230"/>
      <c r="P3" s="230"/>
      <c r="Q3" s="230"/>
      <c r="R3" s="230"/>
      <c r="S3" s="231" t="s">
        <v>69</v>
      </c>
      <c r="T3" s="230"/>
      <c r="U3" s="230"/>
      <c r="V3" s="230"/>
      <c r="W3" s="232"/>
      <c r="X3" s="233" t="s">
        <v>70</v>
      </c>
      <c r="Y3" s="218"/>
      <c r="Z3" s="218"/>
      <c r="AA3" s="218"/>
      <c r="AB3" s="218"/>
      <c r="AC3" s="217" t="s">
        <v>71</v>
      </c>
      <c r="AD3" s="218"/>
      <c r="AE3" s="218"/>
      <c r="AF3" s="218"/>
      <c r="AG3" s="219"/>
      <c r="AH3" s="220" t="s">
        <v>72</v>
      </c>
    </row>
    <row r="4" spans="1:34" s="1" customFormat="1" ht="24" customHeight="1" x14ac:dyDescent="0.2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234"/>
      <c r="L4" s="236"/>
      <c r="M4" s="228"/>
      <c r="N4" s="40" t="s">
        <v>73</v>
      </c>
      <c r="O4" s="41" t="s">
        <v>74</v>
      </c>
      <c r="P4" s="41" t="s">
        <v>75</v>
      </c>
      <c r="Q4" s="41" t="s">
        <v>76</v>
      </c>
      <c r="R4" s="42" t="s">
        <v>77</v>
      </c>
      <c r="S4" s="43" t="s">
        <v>73</v>
      </c>
      <c r="T4" s="43" t="s">
        <v>74</v>
      </c>
      <c r="U4" s="43" t="s">
        <v>75</v>
      </c>
      <c r="V4" s="39" t="s">
        <v>76</v>
      </c>
      <c r="W4" s="44" t="s">
        <v>77</v>
      </c>
      <c r="X4" s="45" t="s">
        <v>73</v>
      </c>
      <c r="Y4" s="46" t="s">
        <v>74</v>
      </c>
      <c r="Z4" s="46" t="s">
        <v>75</v>
      </c>
      <c r="AA4" s="46" t="s">
        <v>76</v>
      </c>
      <c r="AB4" s="47" t="s">
        <v>77</v>
      </c>
      <c r="AC4" s="46" t="s">
        <v>73</v>
      </c>
      <c r="AD4" s="46" t="s">
        <v>74</v>
      </c>
      <c r="AE4" s="46" t="s">
        <v>75</v>
      </c>
      <c r="AF4" s="46" t="s">
        <v>76</v>
      </c>
      <c r="AG4" s="48" t="s">
        <v>77</v>
      </c>
      <c r="AH4" s="220"/>
    </row>
    <row r="5" spans="1:34" s="31" customFormat="1" ht="24" customHeight="1" x14ac:dyDescent="0.2">
      <c r="A5" s="33" t="s">
        <v>19</v>
      </c>
      <c r="B5" s="136" t="s">
        <v>78</v>
      </c>
      <c r="C5" s="136" t="s">
        <v>21</v>
      </c>
      <c r="D5" s="136" t="s">
        <v>79</v>
      </c>
      <c r="E5" s="136" t="s">
        <v>22</v>
      </c>
      <c r="F5" s="144" t="s">
        <v>24</v>
      </c>
      <c r="G5" s="136" t="s">
        <v>25</v>
      </c>
      <c r="H5" s="136" t="s">
        <v>10</v>
      </c>
      <c r="I5" s="136" t="s">
        <v>26</v>
      </c>
      <c r="J5" s="136">
        <v>1343</v>
      </c>
      <c r="K5" s="137">
        <v>20</v>
      </c>
      <c r="L5" s="138">
        <v>0.46150000000000002</v>
      </c>
      <c r="M5" s="139">
        <v>0.4733</v>
      </c>
      <c r="N5" s="151">
        <v>0</v>
      </c>
      <c r="O5" s="152">
        <v>0</v>
      </c>
      <c r="P5" s="152">
        <v>300</v>
      </c>
      <c r="Q5" s="152">
        <v>900</v>
      </c>
      <c r="R5" s="57">
        <f t="shared" ref="R5:R15" si="0">SUM(N5:Q5)</f>
        <v>1200</v>
      </c>
      <c r="S5" s="153">
        <f t="shared" ref="S5:S15" si="1">L5*N5</f>
        <v>0</v>
      </c>
      <c r="T5" s="58">
        <f t="shared" ref="T5:T15" si="2">L5*O5</f>
        <v>0</v>
      </c>
      <c r="U5" s="58">
        <f t="shared" ref="U5:U15" si="3">L5*P5</f>
        <v>138.45000000000002</v>
      </c>
      <c r="V5" s="59">
        <f t="shared" ref="V5:V6" si="4">L5*Q5</f>
        <v>415.35</v>
      </c>
      <c r="W5" s="60">
        <f t="shared" ref="W5:W15" si="5">SUM(S5:V5)</f>
        <v>553.80000000000007</v>
      </c>
      <c r="X5" s="89">
        <v>350</v>
      </c>
      <c r="Y5" s="58">
        <v>350</v>
      </c>
      <c r="Z5" s="58">
        <v>350</v>
      </c>
      <c r="AA5" s="58">
        <v>350</v>
      </c>
      <c r="AB5" s="57">
        <f t="shared" ref="AB5:AB15" si="6">SUM(X5:AA5)</f>
        <v>1400</v>
      </c>
      <c r="AC5" s="58">
        <f t="shared" ref="AC5:AC15" si="7">L5*X5</f>
        <v>161.52500000000001</v>
      </c>
      <c r="AD5" s="58">
        <f t="shared" ref="AD5:AD15" si="8">L5*Y5</f>
        <v>161.52500000000001</v>
      </c>
      <c r="AE5" s="58">
        <f t="shared" ref="AE5:AE15" si="9">L5*Z5</f>
        <v>161.52500000000001</v>
      </c>
      <c r="AF5" s="58">
        <f t="shared" ref="AF5:AF15" si="10">L5*AA5</f>
        <v>161.52500000000001</v>
      </c>
      <c r="AG5" s="60">
        <f t="shared" ref="AG5:AG15" si="11">SUM(AC5:AF5)</f>
        <v>646.1</v>
      </c>
      <c r="AH5" s="94" t="s">
        <v>80</v>
      </c>
    </row>
    <row r="6" spans="1:34" s="13" customFormat="1" ht="24" customHeight="1" x14ac:dyDescent="0.2">
      <c r="A6" s="135" t="s">
        <v>19</v>
      </c>
      <c r="B6" s="136" t="s">
        <v>78</v>
      </c>
      <c r="C6" s="136" t="s">
        <v>21</v>
      </c>
      <c r="D6" s="136" t="s">
        <v>81</v>
      </c>
      <c r="E6" s="136" t="s">
        <v>22</v>
      </c>
      <c r="F6" s="144" t="s">
        <v>24</v>
      </c>
      <c r="G6" s="144" t="s">
        <v>25</v>
      </c>
      <c r="H6" s="136" t="s">
        <v>10</v>
      </c>
      <c r="I6" s="34" t="s">
        <v>33</v>
      </c>
      <c r="J6" s="144">
        <v>3854</v>
      </c>
      <c r="K6" s="145">
        <v>20</v>
      </c>
      <c r="L6" s="138">
        <v>0.46150000000000002</v>
      </c>
      <c r="M6" s="139">
        <v>0.4733</v>
      </c>
      <c r="N6" s="151">
        <v>0</v>
      </c>
      <c r="O6" s="152">
        <v>0</v>
      </c>
      <c r="P6" s="152">
        <v>500</v>
      </c>
      <c r="Q6" s="152">
        <v>500</v>
      </c>
      <c r="R6" s="154">
        <f t="shared" si="0"/>
        <v>1000</v>
      </c>
      <c r="S6" s="153">
        <f t="shared" si="1"/>
        <v>0</v>
      </c>
      <c r="T6" s="153">
        <f t="shared" si="2"/>
        <v>0</v>
      </c>
      <c r="U6" s="153">
        <f t="shared" si="3"/>
        <v>230.75</v>
      </c>
      <c r="V6" s="59">
        <f t="shared" si="4"/>
        <v>230.75</v>
      </c>
      <c r="W6" s="155">
        <f t="shared" si="5"/>
        <v>461.5</v>
      </c>
      <c r="X6" s="156">
        <v>750</v>
      </c>
      <c r="Y6" s="153">
        <v>750</v>
      </c>
      <c r="Z6" s="153">
        <v>750</v>
      </c>
      <c r="AA6" s="153">
        <v>750</v>
      </c>
      <c r="AB6" s="154">
        <f t="shared" si="6"/>
        <v>3000</v>
      </c>
      <c r="AC6" s="153">
        <f t="shared" si="7"/>
        <v>346.125</v>
      </c>
      <c r="AD6" s="153">
        <f t="shared" si="8"/>
        <v>346.125</v>
      </c>
      <c r="AE6" s="153">
        <f t="shared" si="9"/>
        <v>346.125</v>
      </c>
      <c r="AF6" s="153">
        <f t="shared" si="10"/>
        <v>346.125</v>
      </c>
      <c r="AG6" s="155">
        <f t="shared" si="11"/>
        <v>1384.5</v>
      </c>
      <c r="AH6" s="157" t="s">
        <v>82</v>
      </c>
    </row>
    <row r="7" spans="1:34" s="13" customFormat="1" ht="24" customHeight="1" x14ac:dyDescent="0.2">
      <c r="A7" s="135" t="s">
        <v>19</v>
      </c>
      <c r="B7" s="136" t="s">
        <v>78</v>
      </c>
      <c r="C7" s="136" t="s">
        <v>21</v>
      </c>
      <c r="D7" s="136" t="s">
        <v>83</v>
      </c>
      <c r="E7" s="136" t="s">
        <v>30</v>
      </c>
      <c r="F7" s="144" t="s">
        <v>24</v>
      </c>
      <c r="G7" s="144" t="s">
        <v>31</v>
      </c>
      <c r="H7" s="136" t="s">
        <v>10</v>
      </c>
      <c r="I7" s="34" t="s">
        <v>39</v>
      </c>
      <c r="J7" s="144">
        <v>1464</v>
      </c>
      <c r="K7" s="145">
        <v>4</v>
      </c>
      <c r="L7" s="138">
        <v>0.47920000000000001</v>
      </c>
      <c r="M7" s="139">
        <v>0.49</v>
      </c>
      <c r="N7" s="151">
        <v>0</v>
      </c>
      <c r="O7" s="152">
        <v>0</v>
      </c>
      <c r="P7" s="152">
        <v>464</v>
      </c>
      <c r="Q7" s="152">
        <v>1000</v>
      </c>
      <c r="R7" s="154">
        <f t="shared" ref="R7" si="12">SUM(N7:Q7)</f>
        <v>1464</v>
      </c>
      <c r="S7" s="153">
        <f t="shared" ref="S7" si="13">L7*N7</f>
        <v>0</v>
      </c>
      <c r="T7" s="153">
        <f t="shared" ref="T7" si="14">L7*O7</f>
        <v>0</v>
      </c>
      <c r="U7" s="153">
        <f t="shared" ref="U7" si="15">L7*P7</f>
        <v>222.34880000000001</v>
      </c>
      <c r="V7" s="59">
        <f t="shared" ref="V7" si="16">L7*Q7</f>
        <v>479.2</v>
      </c>
      <c r="W7" s="155">
        <f t="shared" ref="W7" si="17">SUM(S7:V7)</f>
        <v>701.54880000000003</v>
      </c>
      <c r="X7" s="156">
        <v>200</v>
      </c>
      <c r="Y7" s="153">
        <v>200</v>
      </c>
      <c r="Z7" s="153">
        <v>200</v>
      </c>
      <c r="AA7" s="153">
        <v>200</v>
      </c>
      <c r="AB7" s="154">
        <f t="shared" ref="AB7" si="18">SUM(X7:AA7)</f>
        <v>800</v>
      </c>
      <c r="AC7" s="153">
        <f t="shared" ref="AC7" si="19">L7*X7</f>
        <v>95.84</v>
      </c>
      <c r="AD7" s="153">
        <f t="shared" ref="AD7" si="20">L7*Y7</f>
        <v>95.84</v>
      </c>
      <c r="AE7" s="153">
        <f t="shared" ref="AE7" si="21">L7*Z7</f>
        <v>95.84</v>
      </c>
      <c r="AF7" s="153">
        <f t="shared" ref="AF7" si="22">L7*AA7</f>
        <v>95.84</v>
      </c>
      <c r="AG7" s="155">
        <f t="shared" ref="AG7" si="23">SUM(AC7:AF7)</f>
        <v>383.36</v>
      </c>
      <c r="AH7" s="157" t="s">
        <v>84</v>
      </c>
    </row>
    <row r="8" spans="1:34" s="13" customFormat="1" ht="24" customHeight="1" x14ac:dyDescent="0.2">
      <c r="A8" s="33" t="s">
        <v>19</v>
      </c>
      <c r="B8" s="34" t="s">
        <v>20</v>
      </c>
      <c r="C8" s="136" t="s">
        <v>21</v>
      </c>
      <c r="D8" s="144" t="s">
        <v>85</v>
      </c>
      <c r="E8" s="144" t="s">
        <v>43</v>
      </c>
      <c r="F8" s="144" t="s">
        <v>24</v>
      </c>
      <c r="G8" s="144" t="s">
        <v>44</v>
      </c>
      <c r="H8" s="144" t="s">
        <v>86</v>
      </c>
      <c r="I8" s="144" t="s">
        <v>87</v>
      </c>
      <c r="J8" s="144">
        <v>126</v>
      </c>
      <c r="K8" s="145"/>
      <c r="L8" s="149">
        <v>1</v>
      </c>
      <c r="M8" s="150"/>
      <c r="N8" s="151"/>
      <c r="O8" s="152">
        <v>126</v>
      </c>
      <c r="P8" s="152"/>
      <c r="Q8" s="152"/>
      <c r="R8" s="154">
        <f t="shared" si="0"/>
        <v>126</v>
      </c>
      <c r="S8" s="153">
        <f t="shared" si="1"/>
        <v>0</v>
      </c>
      <c r="T8" s="153">
        <f t="shared" si="2"/>
        <v>126</v>
      </c>
      <c r="U8" s="153">
        <f t="shared" si="3"/>
        <v>0</v>
      </c>
      <c r="V8" s="158">
        <f t="shared" ref="V8:V11" si="24">L8*Q8</f>
        <v>0</v>
      </c>
      <c r="W8" s="155">
        <f t="shared" si="5"/>
        <v>126</v>
      </c>
      <c r="X8" s="156"/>
      <c r="Y8" s="153"/>
      <c r="Z8" s="153">
        <v>168</v>
      </c>
      <c r="AA8" s="153"/>
      <c r="AB8" s="154">
        <f t="shared" si="6"/>
        <v>168</v>
      </c>
      <c r="AC8" s="153">
        <f t="shared" si="7"/>
        <v>0</v>
      </c>
      <c r="AD8" s="153">
        <f t="shared" si="8"/>
        <v>0</v>
      </c>
      <c r="AE8" s="153">
        <f t="shared" si="9"/>
        <v>168</v>
      </c>
      <c r="AF8" s="153">
        <f t="shared" si="10"/>
        <v>0</v>
      </c>
      <c r="AG8" s="155">
        <f t="shared" si="11"/>
        <v>168</v>
      </c>
      <c r="AH8" s="157" t="s">
        <v>88</v>
      </c>
    </row>
    <row r="9" spans="1:34" s="13" customFormat="1" ht="24" customHeight="1" x14ac:dyDescent="0.2">
      <c r="A9" s="33" t="s">
        <v>19</v>
      </c>
      <c r="B9" s="34" t="s">
        <v>20</v>
      </c>
      <c r="C9" s="136" t="s">
        <v>21</v>
      </c>
      <c r="D9" s="144" t="s">
        <v>89</v>
      </c>
      <c r="E9" s="144" t="s">
        <v>43</v>
      </c>
      <c r="F9" s="144" t="s">
        <v>24</v>
      </c>
      <c r="G9" s="144" t="s">
        <v>44</v>
      </c>
      <c r="H9" s="144" t="s">
        <v>86</v>
      </c>
      <c r="I9" s="144" t="s">
        <v>87</v>
      </c>
      <c r="J9" s="144">
        <v>18</v>
      </c>
      <c r="K9" s="145"/>
      <c r="L9" s="149">
        <v>1</v>
      </c>
      <c r="M9" s="150"/>
      <c r="N9" s="151"/>
      <c r="O9" s="152">
        <v>18</v>
      </c>
      <c r="P9" s="152"/>
      <c r="Q9" s="152"/>
      <c r="R9" s="154">
        <f t="shared" si="0"/>
        <v>18</v>
      </c>
      <c r="S9" s="153">
        <f t="shared" si="1"/>
        <v>0</v>
      </c>
      <c r="T9" s="153">
        <f t="shared" si="2"/>
        <v>18</v>
      </c>
      <c r="U9" s="153">
        <f t="shared" si="3"/>
        <v>0</v>
      </c>
      <c r="V9" s="158">
        <f t="shared" si="24"/>
        <v>0</v>
      </c>
      <c r="W9" s="155">
        <f t="shared" si="5"/>
        <v>18</v>
      </c>
      <c r="X9" s="156"/>
      <c r="Y9" s="153"/>
      <c r="Z9" s="153"/>
      <c r="AA9" s="153"/>
      <c r="AB9" s="154">
        <f t="shared" si="6"/>
        <v>0</v>
      </c>
      <c r="AC9" s="153">
        <f t="shared" si="7"/>
        <v>0</v>
      </c>
      <c r="AD9" s="153">
        <f t="shared" si="8"/>
        <v>0</v>
      </c>
      <c r="AE9" s="153">
        <f t="shared" si="9"/>
        <v>0</v>
      </c>
      <c r="AF9" s="153">
        <f t="shared" si="10"/>
        <v>0</v>
      </c>
      <c r="AG9" s="155">
        <f t="shared" si="11"/>
        <v>0</v>
      </c>
      <c r="AH9" s="157"/>
    </row>
    <row r="10" spans="1:34" s="13" customFormat="1" ht="27.75" x14ac:dyDescent="0.2">
      <c r="A10" s="33" t="s">
        <v>19</v>
      </c>
      <c r="B10" s="34" t="s">
        <v>20</v>
      </c>
      <c r="C10" s="136" t="s">
        <v>21</v>
      </c>
      <c r="D10" s="144" t="s">
        <v>90</v>
      </c>
      <c r="E10" s="144" t="s">
        <v>50</v>
      </c>
      <c r="F10" s="144" t="s">
        <v>49</v>
      </c>
      <c r="G10" s="159" t="s">
        <v>51</v>
      </c>
      <c r="H10" s="144" t="s">
        <v>86</v>
      </c>
      <c r="I10" s="144" t="s">
        <v>87</v>
      </c>
      <c r="J10" s="144">
        <v>180</v>
      </c>
      <c r="K10" s="145"/>
      <c r="L10" s="149">
        <v>1</v>
      </c>
      <c r="M10" s="150"/>
      <c r="N10" s="151"/>
      <c r="O10" s="152">
        <v>180</v>
      </c>
      <c r="P10" s="152"/>
      <c r="Q10" s="152">
        <v>245</v>
      </c>
      <c r="R10" s="154">
        <f t="shared" si="0"/>
        <v>425</v>
      </c>
      <c r="S10" s="153">
        <f t="shared" si="1"/>
        <v>0</v>
      </c>
      <c r="T10" s="153">
        <f t="shared" si="2"/>
        <v>180</v>
      </c>
      <c r="U10" s="153">
        <f t="shared" si="3"/>
        <v>0</v>
      </c>
      <c r="V10" s="158">
        <f t="shared" si="24"/>
        <v>245</v>
      </c>
      <c r="W10" s="155">
        <f t="shared" si="5"/>
        <v>425</v>
      </c>
      <c r="X10" s="156"/>
      <c r="Y10" s="153"/>
      <c r="Z10" s="153"/>
      <c r="AA10" s="153"/>
      <c r="AB10" s="154">
        <f t="shared" si="6"/>
        <v>0</v>
      </c>
      <c r="AC10" s="153">
        <f t="shared" si="7"/>
        <v>0</v>
      </c>
      <c r="AD10" s="153">
        <f t="shared" si="8"/>
        <v>0</v>
      </c>
      <c r="AE10" s="153">
        <f t="shared" si="9"/>
        <v>0</v>
      </c>
      <c r="AF10" s="153">
        <f t="shared" si="10"/>
        <v>0</v>
      </c>
      <c r="AG10" s="155">
        <f t="shared" si="11"/>
        <v>0</v>
      </c>
      <c r="AH10" s="157" t="s">
        <v>91</v>
      </c>
    </row>
    <row r="11" spans="1:34" s="13" customFormat="1" ht="24" customHeight="1" x14ac:dyDescent="0.2">
      <c r="A11" s="33" t="s">
        <v>19</v>
      </c>
      <c r="B11" s="34" t="s">
        <v>20</v>
      </c>
      <c r="C11" s="136" t="s">
        <v>21</v>
      </c>
      <c r="D11" s="160" t="s">
        <v>92</v>
      </c>
      <c r="E11" s="144" t="s">
        <v>50</v>
      </c>
      <c r="F11" s="144" t="s">
        <v>49</v>
      </c>
      <c r="G11" s="161" t="s">
        <v>60</v>
      </c>
      <c r="H11" s="160" t="s">
        <v>86</v>
      </c>
      <c r="I11" s="160"/>
      <c r="J11" s="160">
        <v>120</v>
      </c>
      <c r="K11" s="162"/>
      <c r="L11" s="163">
        <v>1</v>
      </c>
      <c r="M11" s="164"/>
      <c r="N11" s="165"/>
      <c r="O11" s="166"/>
      <c r="P11" s="166"/>
      <c r="Q11" s="166">
        <v>120</v>
      </c>
      <c r="R11" s="167">
        <f t="shared" si="0"/>
        <v>120</v>
      </c>
      <c r="S11" s="168">
        <f t="shared" si="1"/>
        <v>0</v>
      </c>
      <c r="T11" s="168">
        <f t="shared" si="2"/>
        <v>0</v>
      </c>
      <c r="U11" s="168">
        <f t="shared" si="3"/>
        <v>0</v>
      </c>
      <c r="V11" s="169">
        <f t="shared" si="24"/>
        <v>120</v>
      </c>
      <c r="W11" s="170">
        <f t="shared" si="5"/>
        <v>120</v>
      </c>
      <c r="X11" s="171"/>
      <c r="Y11" s="168"/>
      <c r="Z11" s="168"/>
      <c r="AA11" s="168"/>
      <c r="AB11" s="167">
        <f t="shared" si="6"/>
        <v>0</v>
      </c>
      <c r="AC11" s="168">
        <f t="shared" si="7"/>
        <v>0</v>
      </c>
      <c r="AD11" s="168">
        <f t="shared" si="8"/>
        <v>0</v>
      </c>
      <c r="AE11" s="168">
        <f t="shared" si="9"/>
        <v>0</v>
      </c>
      <c r="AF11" s="168">
        <f t="shared" si="10"/>
        <v>0</v>
      </c>
      <c r="AG11" s="170">
        <f t="shared" si="11"/>
        <v>0</v>
      </c>
      <c r="AH11" s="172"/>
    </row>
    <row r="12" spans="1:34" s="13" customFormat="1" ht="24" customHeight="1" x14ac:dyDescent="0.2">
      <c r="A12" s="33" t="s">
        <v>19</v>
      </c>
      <c r="B12" s="34" t="s">
        <v>20</v>
      </c>
      <c r="C12" s="136" t="s">
        <v>21</v>
      </c>
      <c r="D12" s="159" t="s">
        <v>93</v>
      </c>
      <c r="E12" s="144" t="s">
        <v>94</v>
      </c>
      <c r="F12" s="144" t="s">
        <v>95</v>
      </c>
      <c r="G12" s="159" t="s">
        <v>58</v>
      </c>
      <c r="H12" s="144" t="s">
        <v>86</v>
      </c>
      <c r="I12" s="144" t="s">
        <v>87</v>
      </c>
      <c r="J12" s="144">
        <v>30</v>
      </c>
      <c r="K12" s="145"/>
      <c r="L12" s="149">
        <v>1</v>
      </c>
      <c r="M12" s="150"/>
      <c r="N12" s="151"/>
      <c r="O12" s="152"/>
      <c r="P12" s="152"/>
      <c r="Q12" s="152">
        <v>30</v>
      </c>
      <c r="R12" s="154">
        <f t="shared" si="0"/>
        <v>30</v>
      </c>
      <c r="S12" s="153">
        <f t="shared" si="1"/>
        <v>0</v>
      </c>
      <c r="T12" s="153">
        <f t="shared" si="2"/>
        <v>0</v>
      </c>
      <c r="U12" s="153">
        <f t="shared" si="3"/>
        <v>0</v>
      </c>
      <c r="V12" s="158">
        <f t="shared" ref="V12:V15" si="25">L12*Q12</f>
        <v>30</v>
      </c>
      <c r="W12" s="155">
        <f t="shared" si="5"/>
        <v>30</v>
      </c>
      <c r="X12" s="156"/>
      <c r="Y12" s="153"/>
      <c r="Z12" s="153">
        <v>30</v>
      </c>
      <c r="AA12" s="153"/>
      <c r="AB12" s="154">
        <f t="shared" si="6"/>
        <v>30</v>
      </c>
      <c r="AC12" s="153">
        <f t="shared" si="7"/>
        <v>0</v>
      </c>
      <c r="AD12" s="153">
        <f t="shared" si="8"/>
        <v>0</v>
      </c>
      <c r="AE12" s="153">
        <f t="shared" si="9"/>
        <v>30</v>
      </c>
      <c r="AF12" s="153">
        <f t="shared" si="10"/>
        <v>0</v>
      </c>
      <c r="AG12" s="155">
        <f t="shared" si="11"/>
        <v>30</v>
      </c>
      <c r="AH12" s="157" t="s">
        <v>96</v>
      </c>
    </row>
    <row r="13" spans="1:34" s="13" customFormat="1" ht="24" customHeight="1" x14ac:dyDescent="0.2">
      <c r="A13" s="33" t="s">
        <v>19</v>
      </c>
      <c r="B13" s="34" t="s">
        <v>20</v>
      </c>
      <c r="C13" s="136" t="s">
        <v>21</v>
      </c>
      <c r="D13" s="144" t="s">
        <v>97</v>
      </c>
      <c r="E13" s="144" t="s">
        <v>87</v>
      </c>
      <c r="F13" s="144" t="s">
        <v>87</v>
      </c>
      <c r="G13" s="159" t="s">
        <v>87</v>
      </c>
      <c r="H13" s="144" t="s">
        <v>86</v>
      </c>
      <c r="I13" s="144" t="s">
        <v>87</v>
      </c>
      <c r="J13" s="144">
        <v>210</v>
      </c>
      <c r="K13" s="145"/>
      <c r="L13" s="149">
        <v>1</v>
      </c>
      <c r="M13" s="150"/>
      <c r="N13" s="151"/>
      <c r="O13" s="152"/>
      <c r="P13" s="152">
        <v>210</v>
      </c>
      <c r="Q13" s="152"/>
      <c r="R13" s="154">
        <f t="shared" si="0"/>
        <v>210</v>
      </c>
      <c r="S13" s="153">
        <f t="shared" si="1"/>
        <v>0</v>
      </c>
      <c r="T13" s="153">
        <f t="shared" si="2"/>
        <v>0</v>
      </c>
      <c r="U13" s="153">
        <f t="shared" si="3"/>
        <v>210</v>
      </c>
      <c r="V13" s="158">
        <f t="shared" si="25"/>
        <v>0</v>
      </c>
      <c r="W13" s="155">
        <f t="shared" si="5"/>
        <v>210</v>
      </c>
      <c r="X13" s="156"/>
      <c r="Y13" s="153"/>
      <c r="Z13" s="153">
        <v>210</v>
      </c>
      <c r="AA13" s="153"/>
      <c r="AB13" s="154">
        <f t="shared" si="6"/>
        <v>210</v>
      </c>
      <c r="AC13" s="153">
        <f t="shared" si="7"/>
        <v>0</v>
      </c>
      <c r="AD13" s="153">
        <f t="shared" si="8"/>
        <v>0</v>
      </c>
      <c r="AE13" s="153">
        <f t="shared" si="9"/>
        <v>210</v>
      </c>
      <c r="AF13" s="153">
        <f t="shared" si="10"/>
        <v>0</v>
      </c>
      <c r="AG13" s="155">
        <f t="shared" si="11"/>
        <v>210</v>
      </c>
      <c r="AH13" s="157" t="s">
        <v>98</v>
      </c>
    </row>
    <row r="14" spans="1:34" s="13" customFormat="1" ht="24" customHeight="1" x14ac:dyDescent="0.2">
      <c r="A14" s="33" t="s">
        <v>19</v>
      </c>
      <c r="B14" s="34" t="s">
        <v>20</v>
      </c>
      <c r="C14" s="136" t="s">
        <v>21</v>
      </c>
      <c r="D14" s="144" t="s">
        <v>99</v>
      </c>
      <c r="E14" s="144" t="s">
        <v>87</v>
      </c>
      <c r="F14" s="144" t="s">
        <v>87</v>
      </c>
      <c r="G14" s="159" t="s">
        <v>87</v>
      </c>
      <c r="H14" s="144" t="s">
        <v>86</v>
      </c>
      <c r="I14" s="144" t="s">
        <v>87</v>
      </c>
      <c r="J14" s="144">
        <v>90</v>
      </c>
      <c r="K14" s="145"/>
      <c r="L14" s="149">
        <v>1</v>
      </c>
      <c r="M14" s="150"/>
      <c r="N14" s="151"/>
      <c r="O14" s="152">
        <v>90</v>
      </c>
      <c r="P14" s="152"/>
      <c r="Q14" s="152"/>
      <c r="R14" s="154">
        <f t="shared" si="0"/>
        <v>90</v>
      </c>
      <c r="S14" s="153">
        <f t="shared" si="1"/>
        <v>0</v>
      </c>
      <c r="T14" s="153">
        <f t="shared" si="2"/>
        <v>90</v>
      </c>
      <c r="U14" s="153">
        <f t="shared" si="3"/>
        <v>0</v>
      </c>
      <c r="V14" s="158">
        <f t="shared" si="25"/>
        <v>0</v>
      </c>
      <c r="W14" s="155">
        <f t="shared" si="5"/>
        <v>90</v>
      </c>
      <c r="X14" s="156"/>
      <c r="Y14" s="153">
        <v>90</v>
      </c>
      <c r="Z14" s="153"/>
      <c r="AA14" s="153"/>
      <c r="AB14" s="154">
        <f t="shared" si="6"/>
        <v>90</v>
      </c>
      <c r="AC14" s="153">
        <f t="shared" si="7"/>
        <v>0</v>
      </c>
      <c r="AD14" s="153">
        <f t="shared" si="8"/>
        <v>90</v>
      </c>
      <c r="AE14" s="153">
        <f t="shared" si="9"/>
        <v>0</v>
      </c>
      <c r="AF14" s="153">
        <f t="shared" si="10"/>
        <v>0</v>
      </c>
      <c r="AG14" s="155">
        <f t="shared" si="11"/>
        <v>90</v>
      </c>
      <c r="AH14" s="157" t="s">
        <v>100</v>
      </c>
    </row>
    <row r="15" spans="1:34" s="13" customFormat="1" ht="24" customHeight="1" x14ac:dyDescent="0.2">
      <c r="A15" s="173"/>
      <c r="B15" s="160"/>
      <c r="C15" s="160"/>
      <c r="D15" s="160"/>
      <c r="E15" s="160"/>
      <c r="F15" s="160"/>
      <c r="G15" s="161"/>
      <c r="H15" s="160"/>
      <c r="I15" s="160"/>
      <c r="J15" s="160"/>
      <c r="K15" s="162"/>
      <c r="L15" s="163"/>
      <c r="M15" s="164"/>
      <c r="N15" s="165"/>
      <c r="O15" s="166"/>
      <c r="P15" s="166"/>
      <c r="Q15" s="166"/>
      <c r="R15" s="167">
        <f t="shared" si="0"/>
        <v>0</v>
      </c>
      <c r="S15" s="168">
        <f t="shared" si="1"/>
        <v>0</v>
      </c>
      <c r="T15" s="168">
        <f t="shared" si="2"/>
        <v>0</v>
      </c>
      <c r="U15" s="168">
        <f t="shared" si="3"/>
        <v>0</v>
      </c>
      <c r="V15" s="169">
        <f t="shared" si="25"/>
        <v>0</v>
      </c>
      <c r="W15" s="170">
        <f t="shared" si="5"/>
        <v>0</v>
      </c>
      <c r="X15" s="171"/>
      <c r="Y15" s="168"/>
      <c r="Z15" s="168"/>
      <c r="AA15" s="168"/>
      <c r="AB15" s="167">
        <f t="shared" si="6"/>
        <v>0</v>
      </c>
      <c r="AC15" s="168">
        <f t="shared" si="7"/>
        <v>0</v>
      </c>
      <c r="AD15" s="168">
        <f t="shared" si="8"/>
        <v>0</v>
      </c>
      <c r="AE15" s="168">
        <f t="shared" si="9"/>
        <v>0</v>
      </c>
      <c r="AF15" s="168">
        <f t="shared" si="10"/>
        <v>0</v>
      </c>
      <c r="AG15" s="170">
        <f t="shared" si="11"/>
        <v>0</v>
      </c>
      <c r="AH15" s="172"/>
    </row>
    <row r="16" spans="1:34" s="13" customFormat="1" ht="24" customHeight="1" x14ac:dyDescent="0.2">
      <c r="A16" s="135"/>
      <c r="B16" s="144"/>
      <c r="C16" s="144"/>
      <c r="D16" s="144"/>
      <c r="E16" s="144"/>
      <c r="F16" s="144"/>
      <c r="G16" s="159"/>
      <c r="H16" s="144"/>
      <c r="I16" s="144"/>
      <c r="J16" s="144"/>
      <c r="K16" s="145"/>
      <c r="L16" s="149"/>
      <c r="M16" s="150"/>
      <c r="N16" s="151"/>
      <c r="O16" s="152"/>
      <c r="P16" s="152"/>
      <c r="Q16" s="152"/>
      <c r="R16" s="154">
        <f t="shared" ref="R16:R17" si="26">SUM(N16:Q16)</f>
        <v>0</v>
      </c>
      <c r="S16" s="153">
        <f t="shared" ref="S16:S19" si="27">L16*N16</f>
        <v>0</v>
      </c>
      <c r="T16" s="153">
        <f t="shared" ref="T16:T19" si="28">L16*O16</f>
        <v>0</v>
      </c>
      <c r="U16" s="153">
        <f t="shared" ref="U16:U19" si="29">L16*P16</f>
        <v>0</v>
      </c>
      <c r="V16" s="158">
        <f t="shared" ref="V16:V19" si="30">L16*Q16</f>
        <v>0</v>
      </c>
      <c r="W16" s="155">
        <f t="shared" ref="W16:W17" si="31">SUM(S16:V16)</f>
        <v>0</v>
      </c>
      <c r="X16" s="156"/>
      <c r="Y16" s="153"/>
      <c r="Z16" s="153"/>
      <c r="AA16" s="153"/>
      <c r="AB16" s="154">
        <f t="shared" ref="AB16:AB17" si="32">SUM(X16:AA16)</f>
        <v>0</v>
      </c>
      <c r="AC16" s="153">
        <f t="shared" ref="AC16:AC17" si="33">L16*X16</f>
        <v>0</v>
      </c>
      <c r="AD16" s="153">
        <f t="shared" ref="AD16:AD17" si="34">L16*Y16</f>
        <v>0</v>
      </c>
      <c r="AE16" s="153">
        <f t="shared" ref="AE16:AE17" si="35">L16*Z16</f>
        <v>0</v>
      </c>
      <c r="AF16" s="153">
        <f t="shared" ref="AF16:AF17" si="36">L16*AA16</f>
        <v>0</v>
      </c>
      <c r="AG16" s="155">
        <f t="shared" ref="AG16:AG17" si="37">SUM(AC16:AF16)</f>
        <v>0</v>
      </c>
      <c r="AH16" s="157"/>
    </row>
    <row r="17" spans="1:34" s="13" customFormat="1" ht="24" customHeight="1" x14ac:dyDescent="0.2">
      <c r="A17" s="135"/>
      <c r="B17" s="144"/>
      <c r="C17" s="144"/>
      <c r="D17" s="144"/>
      <c r="E17" s="144"/>
      <c r="F17" s="144"/>
      <c r="G17" s="159"/>
      <c r="H17" s="144"/>
      <c r="I17" s="144"/>
      <c r="J17" s="144"/>
      <c r="K17" s="145"/>
      <c r="L17" s="149"/>
      <c r="M17" s="150"/>
      <c r="N17" s="151"/>
      <c r="O17" s="152"/>
      <c r="P17" s="152"/>
      <c r="Q17" s="152"/>
      <c r="R17" s="154">
        <f t="shared" si="26"/>
        <v>0</v>
      </c>
      <c r="S17" s="153">
        <f t="shared" si="27"/>
        <v>0</v>
      </c>
      <c r="T17" s="153">
        <f t="shared" si="28"/>
        <v>0</v>
      </c>
      <c r="U17" s="153">
        <f t="shared" si="29"/>
        <v>0</v>
      </c>
      <c r="V17" s="158">
        <f t="shared" si="30"/>
        <v>0</v>
      </c>
      <c r="W17" s="155">
        <f t="shared" si="31"/>
        <v>0</v>
      </c>
      <c r="X17" s="156"/>
      <c r="Y17" s="153"/>
      <c r="Z17" s="153"/>
      <c r="AA17" s="153"/>
      <c r="AB17" s="154">
        <f t="shared" si="32"/>
        <v>0</v>
      </c>
      <c r="AC17" s="153">
        <f t="shared" si="33"/>
        <v>0</v>
      </c>
      <c r="AD17" s="153">
        <f t="shared" si="34"/>
        <v>0</v>
      </c>
      <c r="AE17" s="153">
        <f t="shared" si="35"/>
        <v>0</v>
      </c>
      <c r="AF17" s="153">
        <f t="shared" si="36"/>
        <v>0</v>
      </c>
      <c r="AG17" s="155">
        <f t="shared" si="37"/>
        <v>0</v>
      </c>
      <c r="AH17" s="157"/>
    </row>
    <row r="18" spans="1:34" s="13" customFormat="1" ht="24" customHeight="1" x14ac:dyDescent="0.2">
      <c r="A18" s="135"/>
      <c r="B18" s="144"/>
      <c r="C18" s="144"/>
      <c r="D18" s="144"/>
      <c r="E18" s="144"/>
      <c r="F18" s="144"/>
      <c r="G18" s="159"/>
      <c r="H18" s="144"/>
      <c r="I18" s="144"/>
      <c r="J18" s="144"/>
      <c r="K18" s="145"/>
      <c r="L18" s="149"/>
      <c r="M18" s="150"/>
      <c r="N18" s="151"/>
      <c r="O18" s="152"/>
      <c r="P18" s="152"/>
      <c r="Q18" s="152"/>
      <c r="R18" s="154">
        <f t="shared" ref="R18:R19" si="38">SUM(N18:Q18)</f>
        <v>0</v>
      </c>
      <c r="S18" s="153">
        <f t="shared" si="27"/>
        <v>0</v>
      </c>
      <c r="T18" s="153">
        <f t="shared" si="28"/>
        <v>0</v>
      </c>
      <c r="U18" s="153">
        <f t="shared" si="29"/>
        <v>0</v>
      </c>
      <c r="V18" s="158">
        <f t="shared" si="30"/>
        <v>0</v>
      </c>
      <c r="W18" s="155">
        <f t="shared" ref="W18:W19" si="39">SUM(S18:V18)</f>
        <v>0</v>
      </c>
      <c r="X18" s="156"/>
      <c r="Y18" s="153"/>
      <c r="Z18" s="153"/>
      <c r="AA18" s="153"/>
      <c r="AB18" s="154">
        <f t="shared" ref="AB18:AB19" si="40">SUM(X18:AA18)</f>
        <v>0</v>
      </c>
      <c r="AC18" s="153">
        <f t="shared" ref="AC18:AC19" si="41">L18*X18</f>
        <v>0</v>
      </c>
      <c r="AD18" s="153">
        <f t="shared" ref="AD18:AD19" si="42">L18*Y18</f>
        <v>0</v>
      </c>
      <c r="AE18" s="153">
        <f t="shared" ref="AE18:AE19" si="43">L18*Z18</f>
        <v>0</v>
      </c>
      <c r="AF18" s="153">
        <f t="shared" ref="AF18:AF19" si="44">L18*AA18</f>
        <v>0</v>
      </c>
      <c r="AG18" s="155">
        <f t="shared" ref="AG18:AG19" si="45">SUM(AC18:AF18)</f>
        <v>0</v>
      </c>
      <c r="AH18" s="157"/>
    </row>
    <row r="19" spans="1:34" s="13" customFormat="1" ht="24" customHeight="1" thickBot="1" x14ac:dyDescent="0.25">
      <c r="A19" s="173"/>
      <c r="B19" s="160"/>
      <c r="C19" s="160"/>
      <c r="D19" s="160"/>
      <c r="E19" s="160"/>
      <c r="F19" s="160"/>
      <c r="G19" s="161"/>
      <c r="H19" s="160"/>
      <c r="I19" s="160"/>
      <c r="J19" s="160"/>
      <c r="K19" s="162"/>
      <c r="L19" s="163"/>
      <c r="M19" s="164"/>
      <c r="N19" s="165"/>
      <c r="O19" s="166"/>
      <c r="P19" s="166"/>
      <c r="Q19" s="166"/>
      <c r="R19" s="167">
        <f t="shared" si="38"/>
        <v>0</v>
      </c>
      <c r="S19" s="168">
        <f t="shared" si="27"/>
        <v>0</v>
      </c>
      <c r="T19" s="168">
        <f t="shared" si="28"/>
        <v>0</v>
      </c>
      <c r="U19" s="168">
        <f t="shared" si="29"/>
        <v>0</v>
      </c>
      <c r="V19" s="169">
        <f t="shared" si="30"/>
        <v>0</v>
      </c>
      <c r="W19" s="170">
        <f t="shared" si="39"/>
        <v>0</v>
      </c>
      <c r="X19" s="171"/>
      <c r="Y19" s="168"/>
      <c r="Z19" s="168"/>
      <c r="AA19" s="168"/>
      <c r="AB19" s="167">
        <f t="shared" si="40"/>
        <v>0</v>
      </c>
      <c r="AC19" s="168">
        <f t="shared" si="41"/>
        <v>0</v>
      </c>
      <c r="AD19" s="168">
        <f t="shared" si="42"/>
        <v>0</v>
      </c>
      <c r="AE19" s="168">
        <f t="shared" si="43"/>
        <v>0</v>
      </c>
      <c r="AF19" s="168">
        <f t="shared" si="44"/>
        <v>0</v>
      </c>
      <c r="AG19" s="170">
        <f t="shared" si="45"/>
        <v>0</v>
      </c>
      <c r="AH19" s="172"/>
    </row>
    <row r="20" spans="1:34" s="5" customFormat="1" ht="24" customHeight="1" x14ac:dyDescent="0.2">
      <c r="A20" s="224" t="s">
        <v>101</v>
      </c>
      <c r="B20" s="225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6"/>
      <c r="N20" s="61"/>
      <c r="O20" s="62"/>
      <c r="P20" s="62"/>
      <c r="Q20" s="62"/>
      <c r="R20" s="63">
        <f t="shared" ref="R20:W20" si="46">SUM(R5:R15)</f>
        <v>4683</v>
      </c>
      <c r="S20" s="64">
        <f t="shared" si="46"/>
        <v>0</v>
      </c>
      <c r="T20" s="64">
        <f t="shared" si="46"/>
        <v>414</v>
      </c>
      <c r="U20" s="64">
        <f t="shared" si="46"/>
        <v>801.54880000000003</v>
      </c>
      <c r="V20" s="64">
        <f t="shared" si="46"/>
        <v>1520.3</v>
      </c>
      <c r="W20" s="63">
        <f t="shared" si="46"/>
        <v>2735.8488000000002</v>
      </c>
      <c r="X20" s="66"/>
      <c r="Y20" s="64"/>
      <c r="Z20" s="64"/>
      <c r="AA20" s="64"/>
      <c r="AB20" s="63">
        <f>SUM(AB5:AB15)</f>
        <v>5698</v>
      </c>
      <c r="AC20" s="64">
        <f>SUM(AC5:AC15)</f>
        <v>603.49</v>
      </c>
      <c r="AD20" s="64">
        <f>SUM(AD5:AD15)</f>
        <v>693.49</v>
      </c>
      <c r="AE20" s="64">
        <f>SUM(AE5:AE15)</f>
        <v>1011.49</v>
      </c>
      <c r="AF20" s="64">
        <f>SUM(AF5:AF15)</f>
        <v>603.49</v>
      </c>
      <c r="AG20" s="65">
        <f>SUM(AC20:AF20)</f>
        <v>2911.96</v>
      </c>
      <c r="AH20" s="67"/>
    </row>
    <row r="21" spans="1:34" s="5" customFormat="1" ht="24" customHeight="1" x14ac:dyDescent="0.2">
      <c r="A21" s="221" t="s">
        <v>102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3"/>
      <c r="N21" s="49"/>
      <c r="O21" s="50"/>
      <c r="P21" s="50"/>
      <c r="Q21" s="50"/>
      <c r="R21" s="51" t="e">
        <f>SUM(#REF!)</f>
        <v>#REF!</v>
      </c>
      <c r="S21" s="52" t="e">
        <f>SUM(#REF!)</f>
        <v>#REF!</v>
      </c>
      <c r="T21" s="52" t="e">
        <f>SUM(#REF!)</f>
        <v>#REF!</v>
      </c>
      <c r="U21" s="52" t="e">
        <f>SUM(#REF!)</f>
        <v>#REF!</v>
      </c>
      <c r="V21" s="52" t="e">
        <f>SUM(#REF!)</f>
        <v>#REF!</v>
      </c>
      <c r="W21" s="51" t="e">
        <f>SUM(#REF!)</f>
        <v>#REF!</v>
      </c>
      <c r="X21" s="54"/>
      <c r="Y21" s="52"/>
      <c r="Z21" s="52"/>
      <c r="AA21" s="52"/>
      <c r="AB21" s="51">
        <f>SUM(AB5:AB20)</f>
        <v>11396</v>
      </c>
      <c r="AC21" s="52" t="e">
        <f>SUM(#REF!)</f>
        <v>#REF!</v>
      </c>
      <c r="AD21" s="52" t="e">
        <f>SUM(#REF!)</f>
        <v>#REF!</v>
      </c>
      <c r="AE21" s="52" t="e">
        <f>SUM(#REF!)</f>
        <v>#REF!</v>
      </c>
      <c r="AF21" s="52" t="e">
        <f>SUM(#REF!)</f>
        <v>#REF!</v>
      </c>
      <c r="AG21" s="53" t="e">
        <f>SUM(AC21:AF21)</f>
        <v>#REF!</v>
      </c>
      <c r="AH21" s="12"/>
    </row>
    <row r="22" spans="1:34" s="5" customFormat="1" ht="24" customHeight="1" x14ac:dyDescent="0.2">
      <c r="A22" s="214" t="s">
        <v>103</v>
      </c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6"/>
      <c r="N22" s="68"/>
      <c r="O22" s="69"/>
      <c r="P22" s="69"/>
      <c r="Q22" s="69"/>
      <c r="R22" s="70" t="e">
        <f>SUM(#REF!)</f>
        <v>#REF!</v>
      </c>
      <c r="S22" s="71" t="e">
        <f>SUM(#REF!)</f>
        <v>#REF!</v>
      </c>
      <c r="T22" s="71" t="e">
        <f>SUM(#REF!)</f>
        <v>#REF!</v>
      </c>
      <c r="U22" s="71" t="e">
        <f>SUM(#REF!)</f>
        <v>#REF!</v>
      </c>
      <c r="V22" s="71" t="e">
        <f>SUM(#REF!)</f>
        <v>#REF!</v>
      </c>
      <c r="W22" s="70" t="e">
        <f>SUM(#REF!)</f>
        <v>#REF!</v>
      </c>
      <c r="X22" s="74"/>
      <c r="Y22" s="71"/>
      <c r="Z22" s="71"/>
      <c r="AA22" s="71"/>
      <c r="AB22" s="70">
        <f>SUM(AB5:AB20)</f>
        <v>11396</v>
      </c>
      <c r="AC22" s="71" t="e">
        <f>SUM(#REF!)</f>
        <v>#REF!</v>
      </c>
      <c r="AD22" s="71" t="e">
        <f>SUM(#REF!)</f>
        <v>#REF!</v>
      </c>
      <c r="AE22" s="71" t="e">
        <f>SUM(#REF!)</f>
        <v>#REF!</v>
      </c>
      <c r="AF22" s="71" t="e">
        <f>SUM(#REF!)</f>
        <v>#REF!</v>
      </c>
      <c r="AG22" s="73" t="e">
        <f>SUM(AC22:AF22)</f>
        <v>#REF!</v>
      </c>
      <c r="AH22" s="75"/>
    </row>
    <row r="23" spans="1:34" s="5" customFormat="1" ht="24" customHeight="1" thickBot="1" x14ac:dyDescent="0.25">
      <c r="A23" s="214" t="s">
        <v>104</v>
      </c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6"/>
      <c r="N23" s="68"/>
      <c r="O23" s="69"/>
      <c r="P23" s="69"/>
      <c r="Q23" s="69"/>
      <c r="R23" s="70"/>
      <c r="S23" s="71"/>
      <c r="T23" s="71"/>
      <c r="U23" s="71"/>
      <c r="V23" s="72"/>
      <c r="W23" s="73"/>
      <c r="X23" s="74"/>
      <c r="Y23" s="71"/>
      <c r="Z23" s="71"/>
      <c r="AA23" s="71"/>
      <c r="AB23" s="70">
        <f>SUM(AB6:AB21)</f>
        <v>21392</v>
      </c>
      <c r="AC23" s="71"/>
      <c r="AD23" s="71"/>
      <c r="AE23" s="71"/>
      <c r="AF23" s="71"/>
      <c r="AG23" s="73" t="e">
        <f>SUM(AG6:AG21)</f>
        <v>#REF!</v>
      </c>
      <c r="AH23" s="75"/>
    </row>
    <row r="24" spans="1:34" s="5" customFormat="1" ht="24" customHeight="1" thickTop="1" x14ac:dyDescent="0.2">
      <c r="A24" s="211" t="s">
        <v>105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3"/>
      <c r="N24" s="76"/>
      <c r="O24" s="77"/>
      <c r="P24" s="77"/>
      <c r="Q24" s="77"/>
      <c r="R24" s="78" t="e">
        <f>SUM(R20:R23)</f>
        <v>#REF!</v>
      </c>
      <c r="S24" s="79"/>
      <c r="T24" s="79"/>
      <c r="U24" s="79"/>
      <c r="V24" s="80"/>
      <c r="W24" s="81" t="e">
        <f>SUM(W20:W23)</f>
        <v>#REF!</v>
      </c>
      <c r="X24" s="82"/>
      <c r="Y24" s="79"/>
      <c r="Z24" s="79"/>
      <c r="AA24" s="79"/>
      <c r="AB24" s="78">
        <f>SUM(AB20:AB23)</f>
        <v>49882</v>
      </c>
      <c r="AC24" s="79"/>
      <c r="AD24" s="79"/>
      <c r="AE24" s="79"/>
      <c r="AF24" s="79"/>
      <c r="AG24" s="81" t="e">
        <f>SUM(AG20:AG23)</f>
        <v>#REF!</v>
      </c>
      <c r="AH24" s="83"/>
    </row>
    <row r="25" spans="1:34" s="1" customFormat="1" ht="24" customHeight="1" x14ac:dyDescent="0.2">
      <c r="A25" s="2"/>
      <c r="B25" s="2"/>
      <c r="C25" s="2"/>
      <c r="D25" s="2"/>
      <c r="E25" s="2"/>
      <c r="F25" s="2"/>
      <c r="G25" s="15"/>
      <c r="H25" s="2"/>
      <c r="I25" s="2"/>
      <c r="J25" s="2"/>
      <c r="K25" s="88"/>
      <c r="L25" s="8"/>
      <c r="M25" s="8"/>
      <c r="N25" s="55"/>
      <c r="O25" s="55"/>
      <c r="P25" s="55"/>
      <c r="Q25" s="55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11"/>
    </row>
    <row r="26" spans="1:34" ht="25.35" customHeight="1" x14ac:dyDescent="0.2">
      <c r="A26" s="4"/>
    </row>
    <row r="27" spans="1:34" ht="25.35" customHeight="1" x14ac:dyDescent="0.2">
      <c r="A27" s="4"/>
    </row>
    <row r="28" spans="1:34" ht="25.35" customHeight="1" x14ac:dyDescent="0.2">
      <c r="A28" s="4"/>
    </row>
    <row r="29" spans="1:34" ht="25.35" customHeight="1" x14ac:dyDescent="0.2">
      <c r="A29" s="4"/>
    </row>
  </sheetData>
  <mergeCells count="23">
    <mergeCell ref="K3:K4"/>
    <mergeCell ref="L3:L4"/>
    <mergeCell ref="A3:A4"/>
    <mergeCell ref="B3:B4"/>
    <mergeCell ref="C3:C4"/>
    <mergeCell ref="D3:D4"/>
    <mergeCell ref="E3:E4"/>
    <mergeCell ref="A24:M24"/>
    <mergeCell ref="A22:M22"/>
    <mergeCell ref="I3:I4"/>
    <mergeCell ref="AC3:AG3"/>
    <mergeCell ref="AH3:AH4"/>
    <mergeCell ref="A21:M21"/>
    <mergeCell ref="A23:M23"/>
    <mergeCell ref="A20:M20"/>
    <mergeCell ref="M3:M4"/>
    <mergeCell ref="N3:R3"/>
    <mergeCell ref="S3:W3"/>
    <mergeCell ref="X3:AB3"/>
    <mergeCell ref="F3:F4"/>
    <mergeCell ref="G3:G4"/>
    <mergeCell ref="H3:H4"/>
    <mergeCell ref="J3:J4"/>
  </mergeCells>
  <phoneticPr fontId="21" type="noConversion"/>
  <pageMargins left="0.7" right="0.7" top="0.75" bottom="0.75" header="0.3" footer="0.3"/>
  <pageSetup paperSize="26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F51A-A027-4C92-9B27-95220930A72F}">
  <dimension ref="A1:S18"/>
  <sheetViews>
    <sheetView showGridLines="0" tabSelected="1" zoomScale="115" zoomScaleNormal="115" workbookViewId="0">
      <pane xSplit="7" ySplit="4" topLeftCell="I5" activePane="bottomRight" state="frozen"/>
      <selection pane="bottomLeft" activeCell="A5" sqref="A5"/>
      <selection pane="topRight" activeCell="H1" sqref="H1"/>
      <selection pane="bottomRight" activeCell="B2" sqref="B2"/>
    </sheetView>
  </sheetViews>
  <sheetFormatPr defaultColWidth="8.984375" defaultRowHeight="25.35" customHeight="1" x14ac:dyDescent="0.2"/>
  <cols>
    <col min="1" max="1" width="24.78125" style="23" bestFit="1" customWidth="1"/>
    <col min="2" max="2" width="14.83984375" style="23" bestFit="1" customWidth="1"/>
    <col min="3" max="3" width="13.48046875" style="23" bestFit="1" customWidth="1"/>
    <col min="4" max="4" width="17.15625" style="23" bestFit="1" customWidth="1"/>
    <col min="5" max="5" width="15.25" style="23" bestFit="1" customWidth="1"/>
    <col min="6" max="6" width="16.203125" style="23" bestFit="1" customWidth="1"/>
    <col min="7" max="7" width="10.34765625" style="23" bestFit="1" customWidth="1"/>
    <col min="8" max="8" width="17.01953125" style="23" bestFit="1" customWidth="1"/>
    <col min="9" max="9" width="17.01953125" style="23" customWidth="1"/>
    <col min="10" max="10" width="9.39453125" style="23" bestFit="1" customWidth="1"/>
    <col min="11" max="11" width="10.484375" style="23" bestFit="1" customWidth="1"/>
    <col min="12" max="12" width="13.20703125" style="23" bestFit="1" customWidth="1"/>
    <col min="13" max="13" width="13.75" style="24" bestFit="1" customWidth="1"/>
    <col min="14" max="14" width="10.75390625" style="24" bestFit="1" customWidth="1"/>
    <col min="15" max="15" width="17.15625" style="24" bestFit="1" customWidth="1"/>
    <col min="16" max="16" width="15.38671875" style="23" bestFit="1" customWidth="1"/>
    <col min="17" max="17" width="15.11328125" style="123" bestFit="1" customWidth="1"/>
    <col min="18" max="18" width="17.4296875" style="123" bestFit="1" customWidth="1"/>
    <col min="19" max="16384" width="8.984375" style="23"/>
  </cols>
  <sheetData>
    <row r="1" spans="1:19" s="124" customFormat="1" ht="25.5" x14ac:dyDescent="0.2">
      <c r="A1" s="17" t="s">
        <v>162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  <c r="P1" s="18"/>
      <c r="Q1" s="122"/>
      <c r="R1" s="122"/>
    </row>
    <row r="2" spans="1:19" ht="17.850000000000001" customHeight="1" x14ac:dyDescent="0.2">
      <c r="A2" s="131"/>
      <c r="B2" s="133"/>
    </row>
    <row r="3" spans="1:19" s="124" customFormat="1" ht="23.85" customHeight="1" x14ac:dyDescent="0.2">
      <c r="A3" s="195" t="s">
        <v>2</v>
      </c>
      <c r="B3" s="195" t="s">
        <v>3</v>
      </c>
      <c r="C3" s="196" t="s">
        <v>4</v>
      </c>
      <c r="D3" s="196" t="s">
        <v>5</v>
      </c>
      <c r="E3" s="196" t="s">
        <v>6</v>
      </c>
      <c r="F3" s="196" t="s">
        <v>7</v>
      </c>
      <c r="G3" s="196" t="s">
        <v>8</v>
      </c>
      <c r="H3" s="196" t="s">
        <v>9</v>
      </c>
      <c r="I3" s="200" t="s">
        <v>163</v>
      </c>
      <c r="J3" s="197" t="s">
        <v>10</v>
      </c>
      <c r="K3" s="196" t="s">
        <v>11</v>
      </c>
      <c r="L3" s="199" t="s">
        <v>12</v>
      </c>
      <c r="M3" s="193" t="s">
        <v>13</v>
      </c>
      <c r="N3" s="202" t="s">
        <v>14</v>
      </c>
      <c r="O3" s="184" t="s">
        <v>132</v>
      </c>
      <c r="P3" s="204" t="s">
        <v>106</v>
      </c>
      <c r="Q3" s="186" t="s">
        <v>128</v>
      </c>
      <c r="R3" s="186"/>
      <c r="S3" s="189"/>
    </row>
    <row r="4" spans="1:19" s="124" customFormat="1" ht="23.85" customHeight="1" x14ac:dyDescent="0.2">
      <c r="A4" s="195"/>
      <c r="B4" s="195"/>
      <c r="C4" s="195"/>
      <c r="D4" s="195"/>
      <c r="E4" s="195"/>
      <c r="F4" s="195"/>
      <c r="G4" s="195"/>
      <c r="H4" s="195"/>
      <c r="I4" s="201"/>
      <c r="J4" s="198"/>
      <c r="K4" s="195"/>
      <c r="L4" s="199"/>
      <c r="M4" s="194"/>
      <c r="N4" s="203"/>
      <c r="O4" s="185"/>
      <c r="P4" s="205"/>
      <c r="Q4" s="183" t="s">
        <v>129</v>
      </c>
      <c r="R4" s="183" t="s">
        <v>131</v>
      </c>
      <c r="S4" s="190" t="s">
        <v>133</v>
      </c>
    </row>
    <row r="5" spans="1:19" s="124" customFormat="1" ht="24" customHeight="1" x14ac:dyDescent="0.2">
      <c r="A5" s="33" t="s">
        <v>148</v>
      </c>
      <c r="B5" s="107" t="s">
        <v>125</v>
      </c>
      <c r="C5" s="107" t="s">
        <v>116</v>
      </c>
      <c r="D5" s="107" t="s">
        <v>143</v>
      </c>
      <c r="E5" s="113" t="s">
        <v>123</v>
      </c>
      <c r="F5" s="107" t="s">
        <v>135</v>
      </c>
      <c r="G5" s="107" t="s">
        <v>122</v>
      </c>
      <c r="H5" s="34" t="s">
        <v>138</v>
      </c>
      <c r="I5" s="34" t="s">
        <v>164</v>
      </c>
      <c r="J5" s="107" t="s">
        <v>64</v>
      </c>
      <c r="K5" s="136">
        <v>1100</v>
      </c>
      <c r="L5" s="114">
        <v>5</v>
      </c>
      <c r="M5" s="115">
        <v>3</v>
      </c>
      <c r="N5" s="109">
        <v>3.2</v>
      </c>
      <c r="O5" s="188">
        <f t="shared" ref="O5:O18" si="0">K5*M5</f>
        <v>3300</v>
      </c>
      <c r="P5" s="113"/>
      <c r="Q5" s="94">
        <v>1</v>
      </c>
      <c r="R5" s="94">
        <f>O5*Q5</f>
        <v>3300</v>
      </c>
    </row>
    <row r="6" spans="1:19" s="124" customFormat="1" ht="24" customHeight="1" x14ac:dyDescent="0.2">
      <c r="A6" s="33" t="s">
        <v>148</v>
      </c>
      <c r="B6" s="107" t="s">
        <v>125</v>
      </c>
      <c r="C6" s="107" t="s">
        <v>116</v>
      </c>
      <c r="D6" s="187" t="s">
        <v>144</v>
      </c>
      <c r="E6" s="187" t="s">
        <v>123</v>
      </c>
      <c r="F6" s="187" t="s">
        <v>135</v>
      </c>
      <c r="G6" s="187" t="s">
        <v>122</v>
      </c>
      <c r="H6" s="187" t="s">
        <v>139</v>
      </c>
      <c r="I6" s="187" t="s">
        <v>166</v>
      </c>
      <c r="J6" s="187" t="s">
        <v>112</v>
      </c>
      <c r="K6" s="136">
        <v>1350</v>
      </c>
      <c r="L6" s="114">
        <v>5</v>
      </c>
      <c r="M6" s="174">
        <v>3</v>
      </c>
      <c r="N6" s="138">
        <v>3.2</v>
      </c>
      <c r="O6" s="188">
        <f t="shared" si="0"/>
        <v>4050</v>
      </c>
      <c r="P6" s="113"/>
      <c r="Q6" s="94">
        <v>0.8</v>
      </c>
      <c r="R6" s="94">
        <f>O6*Q6</f>
        <v>3240</v>
      </c>
    </row>
    <row r="7" spans="1:19" s="124" customFormat="1" ht="24" customHeight="1" x14ac:dyDescent="0.2">
      <c r="A7" s="33" t="s">
        <v>148</v>
      </c>
      <c r="B7" s="34" t="s">
        <v>126</v>
      </c>
      <c r="C7" s="107" t="s">
        <v>114</v>
      </c>
      <c r="D7" s="113" t="s">
        <v>145</v>
      </c>
      <c r="E7" s="107" t="s">
        <v>134</v>
      </c>
      <c r="F7" s="107" t="s">
        <v>49</v>
      </c>
      <c r="G7" s="107" t="s">
        <v>127</v>
      </c>
      <c r="H7" s="107" t="s">
        <v>38</v>
      </c>
      <c r="I7" s="107" t="s">
        <v>165</v>
      </c>
      <c r="J7" s="107" t="s">
        <v>52</v>
      </c>
      <c r="K7" s="107">
        <v>10000</v>
      </c>
      <c r="L7" s="114">
        <v>15</v>
      </c>
      <c r="M7" s="115">
        <v>4</v>
      </c>
      <c r="N7" s="109">
        <v>4.3</v>
      </c>
      <c r="O7" s="188">
        <f t="shared" si="0"/>
        <v>40000</v>
      </c>
      <c r="P7" s="34"/>
      <c r="Q7" s="94">
        <v>0.3</v>
      </c>
      <c r="R7" s="94">
        <f>O7*Q7</f>
        <v>12000</v>
      </c>
    </row>
    <row r="8" spans="1:19" s="124" customFormat="1" ht="24" customHeight="1" x14ac:dyDescent="0.2">
      <c r="A8" s="33" t="s">
        <v>148</v>
      </c>
      <c r="B8" s="34" t="s">
        <v>126</v>
      </c>
      <c r="C8" s="107" t="s">
        <v>114</v>
      </c>
      <c r="D8" s="113" t="s">
        <v>146</v>
      </c>
      <c r="E8" s="107" t="s">
        <v>136</v>
      </c>
      <c r="F8" s="107" t="s">
        <v>107</v>
      </c>
      <c r="G8" s="107" t="s">
        <v>124</v>
      </c>
      <c r="H8" s="107" t="s">
        <v>109</v>
      </c>
      <c r="I8" s="107" t="s">
        <v>167</v>
      </c>
      <c r="J8" s="107" t="s">
        <v>52</v>
      </c>
      <c r="K8" s="107">
        <v>8000</v>
      </c>
      <c r="L8" s="114">
        <v>20</v>
      </c>
      <c r="M8" s="115">
        <v>2</v>
      </c>
      <c r="N8" s="120">
        <v>2.1</v>
      </c>
      <c r="O8" s="188">
        <f t="shared" si="0"/>
        <v>16000</v>
      </c>
      <c r="P8" s="34"/>
      <c r="Q8" s="94">
        <v>0.1</v>
      </c>
      <c r="R8" s="94">
        <f>O8*Q8</f>
        <v>1600</v>
      </c>
    </row>
    <row r="9" spans="1:19" s="124" customFormat="1" ht="24" customHeight="1" x14ac:dyDescent="0.2">
      <c r="A9" s="33" t="s">
        <v>148</v>
      </c>
      <c r="B9" s="34" t="s">
        <v>126</v>
      </c>
      <c r="C9" s="107" t="s">
        <v>114</v>
      </c>
      <c r="D9" s="113" t="s">
        <v>147</v>
      </c>
      <c r="E9" s="107" t="s">
        <v>136</v>
      </c>
      <c r="F9" s="107" t="s">
        <v>107</v>
      </c>
      <c r="G9" s="107" t="s">
        <v>124</v>
      </c>
      <c r="H9" s="107" t="s">
        <v>130</v>
      </c>
      <c r="I9" s="107" t="s">
        <v>165</v>
      </c>
      <c r="J9" s="107" t="s">
        <v>140</v>
      </c>
      <c r="K9" s="107">
        <v>5000</v>
      </c>
      <c r="L9" s="114">
        <v>20</v>
      </c>
      <c r="M9" s="115">
        <v>2</v>
      </c>
      <c r="N9" s="126">
        <v>2.1</v>
      </c>
      <c r="O9" s="188">
        <f t="shared" si="0"/>
        <v>10000</v>
      </c>
      <c r="P9" s="34"/>
      <c r="Q9" s="94">
        <v>0.5</v>
      </c>
      <c r="R9" s="94">
        <f>O9*Q9</f>
        <v>5000</v>
      </c>
    </row>
    <row r="10" spans="1:19" s="124" customFormat="1" ht="30" customHeight="1" x14ac:dyDescent="0.2">
      <c r="A10" s="33" t="s">
        <v>110</v>
      </c>
      <c r="B10" s="34" t="s">
        <v>154</v>
      </c>
      <c r="C10" s="107" t="s">
        <v>155</v>
      </c>
      <c r="D10" s="34" t="s">
        <v>156</v>
      </c>
      <c r="E10" s="113" t="s">
        <v>123</v>
      </c>
      <c r="F10" s="107" t="s">
        <v>135</v>
      </c>
      <c r="G10" s="107" t="s">
        <v>122</v>
      </c>
      <c r="H10" s="34" t="s">
        <v>130</v>
      </c>
      <c r="I10" s="34" t="s">
        <v>165</v>
      </c>
      <c r="J10" s="34" t="s">
        <v>115</v>
      </c>
      <c r="K10" s="34">
        <v>750</v>
      </c>
      <c r="L10" s="114">
        <v>5</v>
      </c>
      <c r="M10" s="115">
        <v>3</v>
      </c>
      <c r="N10" s="109">
        <v>3.2</v>
      </c>
      <c r="O10" s="188">
        <f t="shared" si="0"/>
        <v>2250</v>
      </c>
      <c r="P10" s="34"/>
      <c r="Q10" s="121">
        <v>0.3</v>
      </c>
      <c r="R10" s="94">
        <f>O10*Q10</f>
        <v>675</v>
      </c>
    </row>
    <row r="11" spans="1:19" s="124" customFormat="1" ht="26.45" customHeight="1" x14ac:dyDescent="0.2">
      <c r="A11" s="33" t="s">
        <v>110</v>
      </c>
      <c r="B11" s="34" t="s">
        <v>154</v>
      </c>
      <c r="C11" s="34" t="s">
        <v>155</v>
      </c>
      <c r="D11" s="112" t="s">
        <v>157</v>
      </c>
      <c r="E11" s="187" t="s">
        <v>123</v>
      </c>
      <c r="F11" s="187" t="s">
        <v>135</v>
      </c>
      <c r="G11" s="187" t="s">
        <v>122</v>
      </c>
      <c r="H11" s="34" t="s">
        <v>130</v>
      </c>
      <c r="I11" s="34" t="s">
        <v>165</v>
      </c>
      <c r="J11" s="34" t="s">
        <v>112</v>
      </c>
      <c r="K11" s="34">
        <v>1000</v>
      </c>
      <c r="L11" s="114">
        <v>5</v>
      </c>
      <c r="M11" s="110">
        <v>3</v>
      </c>
      <c r="N11" s="110">
        <v>3.2</v>
      </c>
      <c r="O11" s="188">
        <f t="shared" si="0"/>
        <v>3000</v>
      </c>
      <c r="P11" s="34"/>
      <c r="Q11" s="121">
        <v>0.5</v>
      </c>
      <c r="R11" s="94">
        <f>O11*Q11</f>
        <v>1500</v>
      </c>
    </row>
    <row r="12" spans="1:19" s="124" customFormat="1" ht="24" customHeight="1" x14ac:dyDescent="0.2">
      <c r="A12" s="33" t="s">
        <v>149</v>
      </c>
      <c r="B12" s="34" t="s">
        <v>158</v>
      </c>
      <c r="C12" s="116" t="s">
        <v>159</v>
      </c>
      <c r="D12" s="116" t="s">
        <v>161</v>
      </c>
      <c r="E12" s="187" t="s">
        <v>123</v>
      </c>
      <c r="F12" s="187" t="s">
        <v>135</v>
      </c>
      <c r="G12" s="187" t="s">
        <v>122</v>
      </c>
      <c r="H12" s="116" t="s">
        <v>138</v>
      </c>
      <c r="I12" s="116" t="s">
        <v>164</v>
      </c>
      <c r="J12" s="107" t="s">
        <v>113</v>
      </c>
      <c r="K12" s="116">
        <v>1000</v>
      </c>
      <c r="L12" s="114">
        <v>10</v>
      </c>
      <c r="M12" s="110">
        <v>3</v>
      </c>
      <c r="N12" s="110">
        <v>3.2</v>
      </c>
      <c r="O12" s="188">
        <f t="shared" si="0"/>
        <v>3000</v>
      </c>
      <c r="P12" s="34"/>
      <c r="Q12" s="182">
        <v>1</v>
      </c>
      <c r="R12" s="94">
        <f>O12*Q12</f>
        <v>3000</v>
      </c>
    </row>
    <row r="13" spans="1:19" s="130" customFormat="1" ht="25.35" customHeight="1" x14ac:dyDescent="0.2">
      <c r="A13" s="33" t="s">
        <v>149</v>
      </c>
      <c r="B13" s="128" t="s">
        <v>158</v>
      </c>
      <c r="C13" s="132" t="s">
        <v>159</v>
      </c>
      <c r="D13" s="117" t="s">
        <v>160</v>
      </c>
      <c r="E13" s="187" t="s">
        <v>123</v>
      </c>
      <c r="F13" s="187" t="s">
        <v>135</v>
      </c>
      <c r="G13" s="187" t="s">
        <v>122</v>
      </c>
      <c r="H13" s="187" t="s">
        <v>139</v>
      </c>
      <c r="I13" s="187" t="s">
        <v>166</v>
      </c>
      <c r="J13" s="129" t="s">
        <v>111</v>
      </c>
      <c r="K13" s="132">
        <v>250</v>
      </c>
      <c r="L13" s="114">
        <v>10</v>
      </c>
      <c r="M13" s="110">
        <v>3</v>
      </c>
      <c r="N13" s="110">
        <v>3.2</v>
      </c>
      <c r="O13" s="188">
        <f t="shared" si="0"/>
        <v>750</v>
      </c>
      <c r="P13" s="128"/>
      <c r="Q13" s="182">
        <v>0.8</v>
      </c>
      <c r="R13" s="94">
        <f>O13*Q13</f>
        <v>600</v>
      </c>
    </row>
    <row r="14" spans="1:19" s="124" customFormat="1" ht="23.1" customHeight="1" x14ac:dyDescent="0.2">
      <c r="A14" s="33" t="s">
        <v>150</v>
      </c>
      <c r="B14" s="34"/>
      <c r="C14" s="34"/>
      <c r="D14" s="112"/>
      <c r="E14" s="34"/>
      <c r="F14" s="34"/>
      <c r="G14" s="34"/>
      <c r="H14" s="34" t="s">
        <v>130</v>
      </c>
      <c r="I14" s="34"/>
      <c r="J14" s="34" t="s">
        <v>140</v>
      </c>
      <c r="K14" s="116">
        <v>100</v>
      </c>
      <c r="L14" s="114">
        <v>10</v>
      </c>
      <c r="M14" s="110"/>
      <c r="N14" s="111"/>
      <c r="O14" s="188">
        <f t="shared" si="0"/>
        <v>0</v>
      </c>
      <c r="P14" s="34"/>
      <c r="Q14" s="121"/>
      <c r="R14" s="94">
        <f>O14*Q14</f>
        <v>0</v>
      </c>
    </row>
    <row r="15" spans="1:19" s="124" customFormat="1" ht="24" customHeight="1" x14ac:dyDescent="0.2">
      <c r="A15" s="33" t="s">
        <v>150</v>
      </c>
      <c r="B15" s="34"/>
      <c r="C15" s="34"/>
      <c r="D15" s="112"/>
      <c r="E15" s="113"/>
      <c r="F15" s="34"/>
      <c r="G15" s="34"/>
      <c r="H15" s="34" t="s">
        <v>130</v>
      </c>
      <c r="I15" s="34"/>
      <c r="J15" s="34" t="s">
        <v>140</v>
      </c>
      <c r="K15" s="116">
        <v>100</v>
      </c>
      <c r="L15" s="114">
        <v>10</v>
      </c>
      <c r="M15" s="110"/>
      <c r="N15" s="111"/>
      <c r="O15" s="188">
        <f t="shared" si="0"/>
        <v>0</v>
      </c>
      <c r="P15" s="34"/>
      <c r="Q15" s="121"/>
      <c r="R15" s="94">
        <f>O15*Q15</f>
        <v>0</v>
      </c>
    </row>
    <row r="16" spans="1:19" s="125" customFormat="1" ht="24" customHeight="1" x14ac:dyDescent="0.2">
      <c r="A16" s="127" t="s">
        <v>151</v>
      </c>
      <c r="B16" s="116"/>
      <c r="C16" s="116"/>
      <c r="D16" s="134"/>
      <c r="E16" s="113"/>
      <c r="F16" s="34"/>
      <c r="G16" s="117"/>
      <c r="H16" s="116" t="s">
        <v>138</v>
      </c>
      <c r="I16" s="116"/>
      <c r="J16" s="176" t="s">
        <v>111</v>
      </c>
      <c r="K16" s="116">
        <v>1000</v>
      </c>
      <c r="L16" s="114">
        <v>10</v>
      </c>
      <c r="M16" s="118"/>
      <c r="N16" s="119"/>
      <c r="O16" s="188">
        <f t="shared" si="0"/>
        <v>0</v>
      </c>
      <c r="P16" s="116"/>
      <c r="Q16" s="121"/>
      <c r="R16" s="94">
        <f>O16*Q16</f>
        <v>0</v>
      </c>
    </row>
    <row r="17" spans="1:18" s="125" customFormat="1" ht="24" customHeight="1" x14ac:dyDescent="0.2">
      <c r="A17" s="192" t="s">
        <v>151</v>
      </c>
      <c r="B17" s="176"/>
      <c r="C17" s="176"/>
      <c r="D17" s="175"/>
      <c r="E17" s="177"/>
      <c r="F17" s="178"/>
      <c r="G17" s="179"/>
      <c r="H17" s="191" t="s">
        <v>138</v>
      </c>
      <c r="I17" s="191"/>
      <c r="J17" s="176" t="s">
        <v>115</v>
      </c>
      <c r="K17" s="176">
        <v>500</v>
      </c>
      <c r="L17" s="114">
        <v>10</v>
      </c>
      <c r="M17" s="180"/>
      <c r="N17" s="181"/>
      <c r="O17" s="188">
        <f t="shared" si="0"/>
        <v>0</v>
      </c>
      <c r="P17" s="176"/>
      <c r="Q17" s="182"/>
      <c r="R17" s="94">
        <f>O17*Q17</f>
        <v>0</v>
      </c>
    </row>
    <row r="18" spans="1:18" s="125" customFormat="1" ht="24" customHeight="1" x14ac:dyDescent="0.2">
      <c r="A18" s="192" t="s">
        <v>151</v>
      </c>
      <c r="B18" s="176"/>
      <c r="C18" s="176"/>
      <c r="D18" s="175"/>
      <c r="E18" s="177"/>
      <c r="F18" s="178"/>
      <c r="G18" s="179"/>
      <c r="H18" s="176" t="s">
        <v>109</v>
      </c>
      <c r="I18" s="176"/>
      <c r="J18" s="176" t="s">
        <v>108</v>
      </c>
      <c r="K18" s="176">
        <v>500</v>
      </c>
      <c r="L18" s="114">
        <v>10</v>
      </c>
      <c r="M18" s="180"/>
      <c r="N18" s="181"/>
      <c r="O18" s="188">
        <f t="shared" si="0"/>
        <v>0</v>
      </c>
      <c r="P18" s="176"/>
      <c r="Q18" s="182"/>
      <c r="R18" s="94">
        <f>O18*Q18</f>
        <v>0</v>
      </c>
    </row>
  </sheetData>
  <autoFilter ref="A3:R18" xr:uid="{29A4F51A-A027-4C92-9B27-95220930A72F}"/>
  <mergeCells count="15">
    <mergeCell ref="N3:N4"/>
    <mergeCell ref="P3:P4"/>
    <mergeCell ref="M3:M4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  <mergeCell ref="I3:I4"/>
  </mergeCells>
  <phoneticPr fontId="21" type="noConversion"/>
  <pageMargins left="0.7" right="0.7" top="0.75" bottom="0.75" header="0.3" footer="0.3"/>
  <pageSetup paperSize="2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A628-60B3-4AFD-AFEF-4C31441C1ED3}">
  <dimension ref="A3:R5"/>
  <sheetViews>
    <sheetView workbookViewId="0">
      <selection activeCell="D5" sqref="D5"/>
    </sheetView>
  </sheetViews>
  <sheetFormatPr defaultRowHeight="15" x14ac:dyDescent="0.2"/>
  <cols>
    <col min="8" max="8" width="12.52734375" bestFit="1" customWidth="1"/>
    <col min="15" max="15" width="8.578125" bestFit="1" customWidth="1"/>
    <col min="17" max="17" width="17.4296875" bestFit="1" customWidth="1"/>
    <col min="18" max="18" width="9.9375" bestFit="1" customWidth="1"/>
  </cols>
  <sheetData>
    <row r="3" spans="1:18" s="124" customFormat="1" ht="23.85" customHeight="1" x14ac:dyDescent="0.2">
      <c r="A3" s="195" t="s">
        <v>2</v>
      </c>
      <c r="B3" s="195" t="s">
        <v>3</v>
      </c>
      <c r="C3" s="196" t="s">
        <v>4</v>
      </c>
      <c r="D3" s="196" t="s">
        <v>5</v>
      </c>
      <c r="E3" s="196" t="s">
        <v>6</v>
      </c>
      <c r="F3" s="196" t="s">
        <v>7</v>
      </c>
      <c r="G3" s="196" t="s">
        <v>8</v>
      </c>
      <c r="H3" s="196" t="s">
        <v>9</v>
      </c>
      <c r="I3" s="197" t="s">
        <v>10</v>
      </c>
      <c r="J3" s="196" t="s">
        <v>11</v>
      </c>
      <c r="K3" s="199" t="s">
        <v>12</v>
      </c>
      <c r="L3" s="193" t="s">
        <v>13</v>
      </c>
      <c r="M3" s="202" t="s">
        <v>14</v>
      </c>
      <c r="N3" s="184" t="s">
        <v>132</v>
      </c>
      <c r="O3" s="204" t="s">
        <v>106</v>
      </c>
      <c r="P3" s="186" t="s">
        <v>128</v>
      </c>
      <c r="Q3" s="186"/>
      <c r="R3" s="189"/>
    </row>
    <row r="4" spans="1:18" s="124" customFormat="1" ht="23.85" customHeight="1" x14ac:dyDescent="0.2">
      <c r="A4" s="195"/>
      <c r="B4" s="195"/>
      <c r="C4" s="195"/>
      <c r="D4" s="195"/>
      <c r="E4" s="195"/>
      <c r="F4" s="195"/>
      <c r="G4" s="195"/>
      <c r="H4" s="195"/>
      <c r="I4" s="198"/>
      <c r="J4" s="195"/>
      <c r="K4" s="199"/>
      <c r="L4" s="194"/>
      <c r="M4" s="203"/>
      <c r="N4" s="185"/>
      <c r="O4" s="205"/>
      <c r="P4" s="183" t="s">
        <v>129</v>
      </c>
      <c r="Q4" s="183" t="s">
        <v>131</v>
      </c>
      <c r="R4" s="190" t="s">
        <v>133</v>
      </c>
    </row>
    <row r="5" spans="1:18" x14ac:dyDescent="0.2">
      <c r="A5" s="33" t="s">
        <v>19</v>
      </c>
      <c r="B5" s="107" t="s">
        <v>125</v>
      </c>
      <c r="C5" s="107" t="s">
        <v>116</v>
      </c>
      <c r="D5" s="107" t="s">
        <v>142</v>
      </c>
      <c r="E5" s="113" t="s">
        <v>123</v>
      </c>
      <c r="F5" s="107" t="s">
        <v>135</v>
      </c>
      <c r="G5" s="107" t="s">
        <v>122</v>
      </c>
      <c r="H5" s="107" t="s">
        <v>137</v>
      </c>
      <c r="I5" s="107" t="s">
        <v>26</v>
      </c>
      <c r="J5" s="107">
        <v>1400</v>
      </c>
      <c r="K5" s="114">
        <v>10</v>
      </c>
      <c r="L5" s="108">
        <v>3</v>
      </c>
      <c r="M5" s="109">
        <v>3.2</v>
      </c>
      <c r="N5" s="188">
        <f>J5*L5</f>
        <v>4200</v>
      </c>
      <c r="O5" s="113"/>
      <c r="P5" s="94">
        <v>1</v>
      </c>
      <c r="Q5" s="94">
        <f>N5*P5</f>
        <v>4200</v>
      </c>
    </row>
  </sheetData>
  <mergeCells count="14">
    <mergeCell ref="F3:F4"/>
    <mergeCell ref="A3:A4"/>
    <mergeCell ref="B3:B4"/>
    <mergeCell ref="C3:C4"/>
    <mergeCell ref="D3:D4"/>
    <mergeCell ref="E3:E4"/>
    <mergeCell ref="M3:M4"/>
    <mergeCell ref="O3:O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5592-4D0C-4997-9778-9AE65E51C088}">
  <dimension ref="A3:R5"/>
  <sheetViews>
    <sheetView workbookViewId="0">
      <selection activeCell="Q5" sqref="Q5"/>
    </sheetView>
  </sheetViews>
  <sheetFormatPr defaultRowHeight="15" x14ac:dyDescent="0.2"/>
  <cols>
    <col min="17" max="17" width="17.4296875" bestFit="1" customWidth="1"/>
  </cols>
  <sheetData>
    <row r="3" spans="1:18" s="124" customFormat="1" ht="23.85" customHeight="1" x14ac:dyDescent="0.2">
      <c r="A3" s="195" t="s">
        <v>2</v>
      </c>
      <c r="B3" s="195" t="s">
        <v>3</v>
      </c>
      <c r="C3" s="196" t="s">
        <v>4</v>
      </c>
      <c r="D3" s="196" t="s">
        <v>5</v>
      </c>
      <c r="E3" s="196" t="s">
        <v>6</v>
      </c>
      <c r="F3" s="196" t="s">
        <v>7</v>
      </c>
      <c r="G3" s="196" t="s">
        <v>8</v>
      </c>
      <c r="H3" s="196" t="s">
        <v>9</v>
      </c>
      <c r="I3" s="197" t="s">
        <v>10</v>
      </c>
      <c r="J3" s="196" t="s">
        <v>11</v>
      </c>
      <c r="K3" s="199" t="s">
        <v>12</v>
      </c>
      <c r="L3" s="193" t="s">
        <v>13</v>
      </c>
      <c r="M3" s="202" t="s">
        <v>14</v>
      </c>
      <c r="N3" s="184" t="s">
        <v>132</v>
      </c>
      <c r="O3" s="204" t="s">
        <v>106</v>
      </c>
      <c r="P3" s="186" t="s">
        <v>128</v>
      </c>
      <c r="Q3" s="186"/>
      <c r="R3" s="189"/>
    </row>
    <row r="4" spans="1:18" s="124" customFormat="1" ht="23.85" customHeight="1" x14ac:dyDescent="0.2">
      <c r="A4" s="195"/>
      <c r="B4" s="195"/>
      <c r="C4" s="195"/>
      <c r="D4" s="195"/>
      <c r="E4" s="195"/>
      <c r="F4" s="195"/>
      <c r="G4" s="195"/>
      <c r="H4" s="195"/>
      <c r="I4" s="198"/>
      <c r="J4" s="195"/>
      <c r="K4" s="199"/>
      <c r="L4" s="194"/>
      <c r="M4" s="203"/>
      <c r="N4" s="185"/>
      <c r="O4" s="205"/>
      <c r="P4" s="183" t="s">
        <v>129</v>
      </c>
      <c r="Q4" s="183" t="s">
        <v>131</v>
      </c>
      <c r="R4" s="190" t="s">
        <v>133</v>
      </c>
    </row>
    <row r="5" spans="1:18" x14ac:dyDescent="0.2">
      <c r="A5" s="127" t="s">
        <v>151</v>
      </c>
      <c r="B5" s="116" t="s">
        <v>153</v>
      </c>
      <c r="C5" s="116" t="s">
        <v>152</v>
      </c>
      <c r="D5" s="117" t="s">
        <v>141</v>
      </c>
      <c r="E5" s="113" t="s">
        <v>123</v>
      </c>
      <c r="F5" s="34" t="s">
        <v>135</v>
      </c>
      <c r="G5" s="117" t="s">
        <v>122</v>
      </c>
      <c r="H5" s="116" t="s">
        <v>121</v>
      </c>
      <c r="I5" s="191" t="s">
        <v>113</v>
      </c>
      <c r="J5" s="116">
        <v>1000</v>
      </c>
      <c r="K5" s="114">
        <v>10</v>
      </c>
      <c r="L5" s="118">
        <v>3</v>
      </c>
      <c r="M5" s="119">
        <v>3.2</v>
      </c>
      <c r="N5" s="188">
        <f t="shared" ref="N5" si="0">J5*L5</f>
        <v>3000</v>
      </c>
      <c r="O5" s="116"/>
      <c r="P5" s="121">
        <v>0</v>
      </c>
      <c r="Q5" s="94">
        <f>N5*P5</f>
        <v>0</v>
      </c>
    </row>
  </sheetData>
  <mergeCells count="14">
    <mergeCell ref="F3:F4"/>
    <mergeCell ref="A3:A4"/>
    <mergeCell ref="B3:B4"/>
    <mergeCell ref="C3:C4"/>
    <mergeCell ref="D3:D4"/>
    <mergeCell ref="E3:E4"/>
    <mergeCell ref="M3:M4"/>
    <mergeCell ref="O3:O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4181-DF1F-438C-8B57-C6052572EA1C}">
  <dimension ref="D3:I7"/>
  <sheetViews>
    <sheetView workbookViewId="0">
      <selection activeCell="H11" sqref="H11"/>
    </sheetView>
  </sheetViews>
  <sheetFormatPr defaultRowHeight="15" x14ac:dyDescent="0.2"/>
  <sheetData>
    <row r="3" spans="4:9" ht="15.75" thickBot="1" x14ac:dyDescent="0.25"/>
    <row r="4" spans="4:9" ht="23.25" thickBot="1" x14ac:dyDescent="0.25">
      <c r="D4" s="95"/>
      <c r="E4" s="96" t="s">
        <v>73</v>
      </c>
      <c r="F4" s="96" t="s">
        <v>74</v>
      </c>
      <c r="G4" s="96" t="s">
        <v>75</v>
      </c>
      <c r="H4" s="96" t="s">
        <v>76</v>
      </c>
      <c r="I4" s="96" t="s">
        <v>117</v>
      </c>
    </row>
    <row r="5" spans="4:9" ht="39" thickTop="1" thickBot="1" x14ac:dyDescent="0.35">
      <c r="D5" s="97" t="s">
        <v>118</v>
      </c>
      <c r="E5" s="98">
        <v>604</v>
      </c>
      <c r="F5" s="99">
        <v>1393</v>
      </c>
      <c r="G5" s="99">
        <v>2026</v>
      </c>
      <c r="H5" s="99">
        <v>2982</v>
      </c>
      <c r="I5" s="100">
        <f>SUM(E5:H5)</f>
        <v>7005</v>
      </c>
    </row>
    <row r="6" spans="4:9" ht="39" thickTop="1" thickBot="1" x14ac:dyDescent="0.35">
      <c r="D6" s="101" t="s">
        <v>119</v>
      </c>
      <c r="E6" s="102">
        <v>603.49</v>
      </c>
      <c r="F6" s="103">
        <v>1393.49</v>
      </c>
      <c r="G6" s="102">
        <v>2269.86</v>
      </c>
      <c r="H6" s="102">
        <v>3469.36</v>
      </c>
      <c r="I6" s="100">
        <f>SUM(E6:H6)</f>
        <v>7736.2000000000007</v>
      </c>
    </row>
    <row r="7" spans="4:9" ht="39" thickTop="1" thickBot="1" x14ac:dyDescent="0.35">
      <c r="D7" s="104" t="s">
        <v>120</v>
      </c>
      <c r="E7" s="105"/>
      <c r="F7" s="105"/>
      <c r="G7" s="106">
        <f>G6-G5</f>
        <v>243.86000000000013</v>
      </c>
      <c r="H7" s="106">
        <f>H6-H5</f>
        <v>487.36000000000013</v>
      </c>
      <c r="I7" s="100">
        <f>I6-I5</f>
        <v>731.20000000000073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5ecd4f-3e7a-41e6-984a-b67116d137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81927BA4AA094B9379DA78EEE75AC2" ma:contentTypeVersion="12" ma:contentTypeDescription="Create a new document." ma:contentTypeScope="" ma:versionID="19ebf53175b3279b8dd096ef7b115576">
  <xsd:schema xmlns:xsd="http://www.w3.org/2001/XMLSchema" xmlns:xs="http://www.w3.org/2001/XMLSchema" xmlns:p="http://schemas.microsoft.com/office/2006/metadata/properties" xmlns:ns3="855ecd4f-3e7a-41e6-984a-b67116d13722" targetNamespace="http://schemas.microsoft.com/office/2006/metadata/properties" ma:root="true" ma:fieldsID="043ebce002f7b43b1a169e8be1474fee" ns3:_="">
    <xsd:import namespace="855ecd4f-3e7a-41e6-984a-b67116d137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ecd4f-3e7a-41e6-984a-b67116d137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527267-2C64-4128-9401-10E5C03FAEAC}">
  <ds:schemaRefs>
    <ds:schemaRef ds:uri="http://schemas.microsoft.com/office/2006/metadata/properties"/>
    <ds:schemaRef ds:uri="http://www.w3.org/2000/xmlns/"/>
    <ds:schemaRef ds:uri="855ecd4f-3e7a-41e6-984a-b67116d13722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D6E07936-CD41-4B18-B704-BF1245CBE2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172BEB-302A-4255-A033-7085FF437A0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55ecd4f-3e7a-41e6-984a-b67116d137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Funnel</vt:lpstr>
      <vt:lpstr>FCST_Revenue</vt:lpstr>
      <vt:lpstr>ProjectTrack</vt:lpstr>
      <vt:lpstr>Mass Production</vt:lpstr>
      <vt:lpstr>Design Lost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David Nam</cp:lastModifiedBy>
  <cp:revision/>
  <dcterms:created xsi:type="dcterms:W3CDTF">2025-01-16T07:04:51Z</dcterms:created>
  <dcterms:modified xsi:type="dcterms:W3CDTF">2026-07-29T05:55:15Z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0x0101009681927BA4AA094B9379DA78EEE75AC2</vt:lpwstr>
  </property>
</Properties>
</file>